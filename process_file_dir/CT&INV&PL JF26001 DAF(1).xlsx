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Z031127\Desktop\project\invoice_inspector\process_file_dir\"/>
    </mc:Choice>
  </mc:AlternateContent>
  <xr:revisionPtr revIDLastSave="0" documentId="13_ncr:1_{48CA05AC-05ED-45DF-950E-656C392133F3}" xr6:coauthVersionLast="47" xr6:coauthVersionMax="47" xr10:uidLastSave="{00000000-0000-0000-0000-000000000000}"/>
  <bookViews>
    <workbookView xWindow="-60" yWindow="-60" windowWidth="28920" windowHeight="15870" activeTab="2" xr2:uid="{00000000-000D-0000-FFFF-FFFF00000000}"/>
  </bookViews>
  <sheets>
    <sheet name="Contract" sheetId="1" r:id="rId1"/>
    <sheet name="Invoice" sheetId="2" r:id="rId2"/>
    <sheet name="Packing list" sheetId="3" r:id="rId3"/>
  </sheets>
  <definedNames>
    <definedName name="_xlnm._FilterDatabase" localSheetId="1" hidden="1">Invoice!$A$21:$G$25</definedName>
    <definedName name="_xlnm.Print_Area" localSheetId="0">Contract!$A$1:$E$39</definedName>
    <definedName name="_xlnm.Print_Area" localSheetId="1">Invoice!$A$1:$G$39</definedName>
    <definedName name="_xlnm.Print_Area" localSheetId="2">'Packing list'!$A$1:$I$88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3" l="1"/>
  <c r="H80" i="3"/>
  <c r="G80" i="3"/>
  <c r="F80" i="3"/>
  <c r="I79" i="3"/>
  <c r="H79" i="3"/>
  <c r="G79" i="3"/>
  <c r="F79" i="3"/>
  <c r="E79" i="3"/>
  <c r="F78" i="3"/>
  <c r="E78" i="3"/>
  <c r="I65" i="3"/>
  <c r="H65" i="3"/>
  <c r="G65" i="3"/>
  <c r="F65" i="3"/>
  <c r="E65" i="3"/>
  <c r="E80" i="3" s="1"/>
  <c r="G25" i="2"/>
  <c r="E25" i="2"/>
  <c r="F23" i="2"/>
  <c r="F22" i="2"/>
  <c r="G10" i="2"/>
  <c r="F10" i="2"/>
  <c r="G9" i="2"/>
  <c r="G8" i="2"/>
  <c r="G7" i="2"/>
  <c r="E18" i="1"/>
  <c r="C18" i="1"/>
  <c r="D17" i="1"/>
  <c r="D16" i="1"/>
  <c r="E4" i="1"/>
  <c r="E3" i="1"/>
</calcChain>
</file>

<file path=xl/sharedStrings.xml><?xml version="1.0" encoding="utf-8"?>
<sst xmlns="http://schemas.openxmlformats.org/spreadsheetml/2006/main" count="255" uniqueCount="115">
  <si>
    <t>SALES CONTRACT</t>
  </si>
  <si>
    <t>DATE:</t>
  </si>
  <si>
    <t>CONTRACT NO.:</t>
  </si>
  <si>
    <t xml:space="preserve">The Seller:   </t>
  </si>
  <si>
    <t>CALIFOR UPHOLSTERY MATERIALS CO.,LTD.</t>
  </si>
  <si>
    <t>XIN BAVET SEZ, Road No. 316A, Trapeang Bon and  Prey Kokir  Villages, Prey Kokir  Commune, Chantrea District,</t>
  </si>
  <si>
    <t>Svay Rieng Province, Kingdom of Cambodia.</t>
  </si>
  <si>
    <t>TEL:</t>
  </si>
  <si>
    <t>+855   975910636</t>
  </si>
  <si>
    <t xml:space="preserve">The Buyer:  </t>
  </si>
  <si>
    <t>JASON FURNITURE VIET NAM COMPANY LIMITED</t>
  </si>
  <si>
    <r>
      <rPr>
        <sz val="15"/>
        <rFont val="Times New Roman"/>
        <charset val="134"/>
      </rPr>
      <t>LOT 37, 38, 39, 40, 41, 44, 50, 51, 54</t>
    </r>
    <r>
      <rPr>
        <sz val="15"/>
        <rFont val="SimSun"/>
        <charset val="134"/>
      </rPr>
      <t>，</t>
    </r>
    <r>
      <rPr>
        <sz val="15"/>
        <rFont val="Times New Roman"/>
        <charset val="134"/>
      </rPr>
      <t>55, 56</t>
    </r>
    <r>
      <rPr>
        <sz val="15"/>
        <rFont val="SimSun"/>
        <charset val="134"/>
      </rPr>
      <t>，</t>
    </r>
    <r>
      <rPr>
        <sz val="15"/>
        <rFont val="Times New Roman"/>
        <charset val="134"/>
      </rPr>
      <t xml:space="preserve">B2 CLUSTER, DONG XOAI III INDUSTRIAL PARK,  </t>
    </r>
  </si>
  <si>
    <t>BINH PHUOC WARD, DONG NAI PROVINCE, VIETNAM</t>
  </si>
  <si>
    <t>Contact Person : Contact Person : Mr. Thuy   Tel: 0379367084</t>
  </si>
  <si>
    <t>EMAll:jyangbin4720@dingtalk.com jialy@kukahome.com dailin@kukahome.com huanggf@kukahome.com zhangzp@kukahome.com</t>
  </si>
  <si>
    <t>The undersigned Sellers 、Buyers and Beneficiary have agreed to close the  following transactions according to the terms and conditions Stipulated below:</t>
  </si>
  <si>
    <t>No.</t>
  </si>
  <si>
    <t>ITEM Nº</t>
  </si>
  <si>
    <t>Quantity(SF)</t>
  </si>
  <si>
    <t>Unit Price(USD)</t>
  </si>
  <si>
    <t>Total value(USD)</t>
  </si>
  <si>
    <t xml:space="preserve">01.10.U243082/01.10.U741030
01.10.U756090/01.10.U528073
01.10.U528103/01.10.W783032
01.10.W782023/01.10.W783010-K
01.10.O6508/01.10.W782011
01.10.U756022/
</t>
  </si>
  <si>
    <t>01.11.S756022</t>
  </si>
  <si>
    <t>TOTAL:</t>
  </si>
  <si>
    <t>DAF:</t>
  </si>
  <si>
    <t>BAVET</t>
  </si>
  <si>
    <t>Term of Payment: 100% TT after shipment</t>
  </si>
  <si>
    <t>Transaction method: DAF(USD)</t>
  </si>
  <si>
    <t xml:space="preserve">Beneficiary bank information: </t>
  </si>
  <si>
    <t xml:space="preserve">Beneficiary Bank' s Name: </t>
  </si>
  <si>
    <t>BANK OF CHINA(HONG KONG)LIMITED PHNOM PENH BRANCH
 /BANK OF CHINA PHNOM PENH BRANCH</t>
  </si>
  <si>
    <t xml:space="preserve">Bank Address:  </t>
  </si>
  <si>
    <t>1st AND 2nd FLOOR,CANADIA TOWER,No.315 ANDDUONG ST.
PHNOM PEMH,CAMBODIA.</t>
  </si>
  <si>
    <t>Bank account :</t>
  </si>
  <si>
    <t>100001100764430</t>
  </si>
  <si>
    <t>SWIFT CODE  ：</t>
  </si>
  <si>
    <t>BKCHKHPPXXX</t>
  </si>
  <si>
    <t>The Buyer:</t>
  </si>
  <si>
    <t>The Seller:</t>
  </si>
  <si>
    <t>CALIFOR UPHOLSTERY MATERIALS CO., LTD.</t>
  </si>
  <si>
    <t xml:space="preserve"> XIN BAVET SEZ, Road No. 316A, Trapeang Bon and  Prey Kokir  Villages, Prey Kokir  Commune, Chantrea District, </t>
  </si>
  <si>
    <t>VAT:L001-901903209</t>
  </si>
  <si>
    <t>Tel: +855   975910636</t>
  </si>
  <si>
    <t>INVOICE</t>
  </si>
  <si>
    <t>Ref No.:</t>
  </si>
  <si>
    <t>EXPORTER:</t>
  </si>
  <si>
    <t>INVOICE NO :</t>
  </si>
  <si>
    <t xml:space="preserve">XIN BAVET SEZ, Road No. 316A, Trapeang Bon and Prey Kokir Villages, </t>
  </si>
  <si>
    <t>Date:</t>
  </si>
  <si>
    <t xml:space="preserve">Prey Kokir Commune, Chantrea District,Svay Rieng Province, Kingdom of Cambodia </t>
  </si>
  <si>
    <t>CONSIGNEE :</t>
  </si>
  <si>
    <r>
      <rPr>
        <b/>
        <sz val="11"/>
        <color theme="1"/>
        <rFont val="Times New Roman"/>
        <charset val="134"/>
      </rPr>
      <t>LOT 37, 38, 39, 40, 41, 44, 50, 51, 54</t>
    </r>
    <r>
      <rPr>
        <b/>
        <sz val="11"/>
        <color theme="1"/>
        <rFont val="SimSun"/>
        <charset val="134"/>
      </rPr>
      <t>，</t>
    </r>
    <r>
      <rPr>
        <b/>
        <sz val="11"/>
        <color theme="1"/>
        <rFont val="Times New Roman"/>
        <charset val="134"/>
      </rPr>
      <t>55, 56</t>
    </r>
    <r>
      <rPr>
        <b/>
        <sz val="11"/>
        <color theme="1"/>
        <rFont val="SimSun"/>
        <charset val="134"/>
      </rPr>
      <t>，</t>
    </r>
    <r>
      <rPr>
        <b/>
        <sz val="11"/>
        <color theme="1"/>
        <rFont val="Times New Roman"/>
        <charset val="134"/>
      </rPr>
      <t xml:space="preserve">B2 CLUSTER, DONG XOAI III INDUSTRIAL PARK,  </t>
    </r>
  </si>
  <si>
    <t>BINH PHUOC WARD,DONG NAI PROVINCE, VIETNAM</t>
  </si>
  <si>
    <t>Contact Person : Mr. Thuy   TEl: 0379367084</t>
  </si>
  <si>
    <t xml:space="preserve">EMAlL:jyangbin4720@dingtalk.com jialy@kukahome.com </t>
  </si>
  <si>
    <t>dailin@kukahome.com huanggf@kukahome.com zhangzp@kukahome.com</t>
  </si>
  <si>
    <t xml:space="preserve">SHIP: </t>
  </si>
  <si>
    <t>BY TRUCK FROM BAVET, SVAY RIENG, CAMBODIA TO DONG NAI PROVINCE, VIETNAM.</t>
  </si>
  <si>
    <t>Mark &amp; Nº</t>
  </si>
  <si>
    <t>P.O. Nº</t>
  </si>
  <si>
    <t>Description</t>
  </si>
  <si>
    <t>Unit price (USD)</t>
  </si>
  <si>
    <t>Amount (USD)</t>
  </si>
  <si>
    <t>VENDOR#:</t>
  </si>
  <si>
    <t>9000824229/9000835028/9000862772
9000869348/9000869831/9000870684
9000870701/9000872902</t>
  </si>
  <si>
    <t>COW LEATHER</t>
  </si>
  <si>
    <t>Des: COW LEATHER</t>
  </si>
  <si>
    <t>9000872902</t>
  </si>
  <si>
    <t>MADE IN CAMBODIA</t>
  </si>
  <si>
    <t>29 PALLETS</t>
  </si>
  <si>
    <t>Country of Original Cambodia</t>
  </si>
  <si>
    <t>Manufacture:</t>
  </si>
  <si>
    <t>CALIFOR UPHOLSTERY MATERIALS CO., LTD.
XIN BAVET SEZ, Road No. 316A, Trapeang Bon and Prey Kokir Villages, Prey Kokir Commune, Chantrea District,Svay Rieng Province, Kingdom of Cambodia, Tel: +855   975910636</t>
  </si>
  <si>
    <t>BENEFICIARY BANK：BANK OF CHINA(HONG KONG)LIMITED PHNOM PENH BRANCH
                                                  /BANK OF CHINA PHNOM PENH BRANCH</t>
  </si>
  <si>
    <t>A/C NO:100001100764430</t>
  </si>
  <si>
    <t>SWIFT CODE  ：BKCHKHPPXXX</t>
  </si>
  <si>
    <t>Sign &amp; Stamp</t>
  </si>
  <si>
    <t>ZENG XUELI</t>
  </si>
  <si>
    <t>PACKING LIST</t>
  </si>
  <si>
    <t>CLF2026-009</t>
  </si>
  <si>
    <t>JF26001</t>
  </si>
  <si>
    <t>XIN BAVET SEZ, Road No. 316A, Trapeang Bon and Prey Kokir Villages,</t>
  </si>
  <si>
    <t>Prey Kokir Commune, Chantrea District,Svay Rieng Province, Kingdom of Cambodia</t>
  </si>
  <si>
    <t>DAF :</t>
  </si>
  <si>
    <r>
      <rPr>
        <b/>
        <sz val="11"/>
        <color rgb="FF000000"/>
        <rFont val="Times New Roman"/>
        <charset val="134"/>
      </rPr>
      <t>LOT 37, 38, 39, 40, 41, 44, 50, 51, 54</t>
    </r>
    <r>
      <rPr>
        <b/>
        <sz val="11"/>
        <color rgb="FF000000"/>
        <rFont val="SimSun"/>
        <charset val="134"/>
      </rPr>
      <t>，</t>
    </r>
    <r>
      <rPr>
        <b/>
        <sz val="11"/>
        <color rgb="FF000000"/>
        <rFont val="Times New Roman"/>
        <charset val="134"/>
      </rPr>
      <t>55, 56</t>
    </r>
    <r>
      <rPr>
        <b/>
        <sz val="11"/>
        <color rgb="FF000000"/>
        <rFont val="SimSun"/>
        <charset val="134"/>
      </rPr>
      <t>，</t>
    </r>
    <r>
      <rPr>
        <b/>
        <sz val="11"/>
        <color rgb="FF000000"/>
        <rFont val="Times New Roman"/>
        <charset val="134"/>
      </rPr>
      <t xml:space="preserve">B2 CLUSTER, DONG XOAI III INDUSTRIAL PARK,  </t>
    </r>
  </si>
  <si>
    <t>EMAlL:jyangbin4720@dingtalk.com jialy@kukahome.com</t>
  </si>
  <si>
    <t>P.O Nº</t>
  </si>
  <si>
    <t>N.W (kgs)</t>
  </si>
  <si>
    <t>G.W (kgs)</t>
  </si>
  <si>
    <t>CBM</t>
  </si>
  <si>
    <t>PCS</t>
  </si>
  <si>
    <t>SF</t>
  </si>
  <si>
    <t>9000870701</t>
  </si>
  <si>
    <t>01.10.W783032</t>
  </si>
  <si>
    <t>Des:  COW LEATHER</t>
  </si>
  <si>
    <t>Case Qty:</t>
  </si>
  <si>
    <t>9000870684</t>
  </si>
  <si>
    <t>01.10.W783010-K</t>
  </si>
  <si>
    <t>9000862772</t>
  </si>
  <si>
    <t>01.10.U756090</t>
  </si>
  <si>
    <t>01.10.W782011</t>
  </si>
  <si>
    <t>01.10.U756022</t>
  </si>
  <si>
    <t>9000835028</t>
  </si>
  <si>
    <t>01.10.U741030</t>
  </si>
  <si>
    <t>9000824229</t>
  </si>
  <si>
    <t>01.10.U243082</t>
  </si>
  <si>
    <t>9000869831</t>
  </si>
  <si>
    <t>01.10.W782023</t>
  </si>
  <si>
    <t>01.10.O6508</t>
  </si>
  <si>
    <t>23 PALLETS</t>
  </si>
  <si>
    <t>9000869348</t>
  </si>
  <si>
    <t>01.10.U528073</t>
  </si>
  <si>
    <t>01.10.U528103</t>
  </si>
  <si>
    <t>6 PALLETS</t>
  </si>
  <si>
    <t>BENEFICIARY BANK：BANK OF CHINA(HONG KONG)LIMITED  PHNOM PENH BRANCH
                                          /BANK OF CHINA PHNOM PENH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</si>
</sst>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_ &quot;￥&quot;* #,##0.00_ ;_ &quot;￥&quot;* \-#,##0.00_ ;_ &quot;￥&quot;* &quot;-&quot;??_ ;_ @_ "/>
    <numFmt numFmtId="167" formatCode="dd/mm/yyyy"/>
    <numFmt numFmtId="168" formatCode="0.00_ "/>
    <numFmt numFmtId="169" formatCode="#,##0.000000"/>
    <numFmt numFmtId="170" formatCode="###0;###0"/>
    <numFmt numFmtId="171" formatCode="#,##0.00;[Red]#,##0.00"/>
  </numFmts>
  <fonts count="38">
    <font>
      <sz val="11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sz val="11"/>
      <color theme="1"/>
      <name val="Times New Roman"/>
      <charset val="134"/>
    </font>
    <font>
      <b/>
      <sz val="24"/>
      <color theme="1"/>
      <name val="Times New Roman"/>
      <charset val="134"/>
    </font>
    <font>
      <b/>
      <u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Book Antiqua"/>
      <charset val="134"/>
    </font>
    <font>
      <b/>
      <sz val="11"/>
      <color rgb="FF000000"/>
      <name val="Times New Roman"/>
      <charset val="134"/>
    </font>
    <font>
      <sz val="10"/>
      <color theme="1"/>
      <name val="Book Antiqua"/>
      <charset val="134"/>
    </font>
    <font>
      <sz val="11"/>
      <color rgb="FF000000"/>
      <name val="Times New Roman"/>
      <charset val="134"/>
    </font>
    <font>
      <sz val="11"/>
      <color theme="1"/>
      <name val="Book Antiqua"/>
      <charset val="134"/>
    </font>
    <font>
      <b/>
      <sz val="11"/>
      <color theme="1"/>
      <name val="Calibri"/>
      <charset val="134"/>
      <scheme val="minor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name val="Calibri"/>
      <charset val="134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7"/>
      <name val="Times New Roman"/>
      <charset val="134"/>
    </font>
    <font>
      <sz val="15"/>
      <name val="Times New Roman"/>
      <charset val="134"/>
    </font>
    <font>
      <sz val="20"/>
      <name val="Times New Roman"/>
      <charset val="134"/>
    </font>
    <font>
      <b/>
      <sz val="17"/>
      <name val="Times New Roman"/>
      <charset val="134"/>
    </font>
    <font>
      <b/>
      <sz val="16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Times New Roman"/>
      <charset val="134"/>
    </font>
    <font>
      <sz val="16"/>
      <name val="Times New Roman"/>
      <charset val="134"/>
    </font>
    <font>
      <sz val="14"/>
      <name val="Times New Roman"/>
      <charset val="134"/>
    </font>
    <font>
      <sz val="10"/>
      <name val="Arial"/>
      <charset val="134"/>
    </font>
    <font>
      <b/>
      <sz val="11"/>
      <color rgb="FF000000"/>
      <name val="SimSun"/>
      <charset val="134"/>
    </font>
    <font>
      <sz val="15"/>
      <name val="SimSun"/>
      <charset val="134"/>
    </font>
    <font>
      <b/>
      <sz val="11"/>
      <color theme="1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3">
    <xf numFmtId="0" fontId="0" fillId="0" borderId="0"/>
    <xf numFmtId="165" fontId="37" fillId="0" borderId="0">
      <alignment vertical="center"/>
    </xf>
    <xf numFmtId="0" fontId="33" fillId="0" borderId="0"/>
  </cellStyleXfs>
  <cellXfs count="160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5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" fontId="17" fillId="0" borderId="10" xfId="0" applyNumberFormat="1" applyFont="1" applyBorder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 wrapText="1"/>
    </xf>
    <xf numFmtId="4" fontId="17" fillId="0" borderId="8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top" wrapText="1"/>
    </xf>
    <xf numFmtId="0" fontId="12" fillId="0" borderId="0" xfId="0" applyFont="1"/>
    <xf numFmtId="0" fontId="6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4" fontId="2" fillId="0" borderId="0" xfId="1" applyNumberFormat="1" applyFont="1" applyAlignment="1">
      <alignment horizontal="left" vertical="center"/>
    </xf>
    <xf numFmtId="0" fontId="16" fillId="0" borderId="12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49" fontId="16" fillId="0" borderId="8" xfId="0" applyNumberFormat="1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49" fontId="16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" fontId="17" fillId="0" borderId="10" xfId="0" applyNumberFormat="1" applyFont="1" applyBorder="1" applyAlignment="1">
      <alignment horizontal="center" vertical="center"/>
    </xf>
    <xf numFmtId="4" fontId="21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top" wrapText="1"/>
    </xf>
    <xf numFmtId="1" fontId="5" fillId="0" borderId="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168" fontId="16" fillId="0" borderId="0" xfId="0" applyNumberFormat="1" applyFont="1" applyAlignment="1">
      <alignment horizontal="center" vertical="center"/>
    </xf>
    <xf numFmtId="0" fontId="10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4" fontId="8" fillId="0" borderId="0" xfId="1" applyNumberFormat="1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49" fontId="8" fillId="0" borderId="0" xfId="0" applyNumberFormat="1" applyFont="1" applyAlignment="1">
      <alignment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4" fontId="16" fillId="0" borderId="4" xfId="0" applyNumberFormat="1" applyFont="1" applyBorder="1" applyAlignment="1">
      <alignment horizontal="center" vertical="center" wrapText="1"/>
    </xf>
    <xf numFmtId="169" fontId="16" fillId="0" borderId="3" xfId="0" applyNumberFormat="1" applyFont="1" applyBorder="1" applyAlignment="1">
      <alignment horizontal="center" vertical="center" wrapText="1"/>
    </xf>
    <xf numFmtId="4" fontId="16" fillId="0" borderId="3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6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4" fontId="15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0" xfId="0" applyFont="1"/>
    <xf numFmtId="4" fontId="2" fillId="0" borderId="0" xfId="0" applyNumberFormat="1" applyFont="1"/>
    <xf numFmtId="0" fontId="2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right" vertical="center" wrapText="1"/>
    </xf>
    <xf numFmtId="167" fontId="27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top" wrapText="1"/>
    </xf>
    <xf numFmtId="0" fontId="28" fillId="0" borderId="3" xfId="0" applyFont="1" applyBorder="1" applyAlignment="1">
      <alignment horizontal="center" vertical="center" wrapText="1"/>
    </xf>
    <xf numFmtId="4" fontId="17" fillId="0" borderId="0" xfId="0" applyNumberFormat="1" applyFont="1" applyAlignment="1">
      <alignment vertical="center"/>
    </xf>
    <xf numFmtId="0" fontId="28" fillId="0" borderId="3" xfId="0" applyFont="1" applyBorder="1" applyAlignment="1">
      <alignment horizontal="center" vertical="center"/>
    </xf>
    <xf numFmtId="4" fontId="28" fillId="0" borderId="3" xfId="0" applyNumberFormat="1" applyFont="1" applyBorder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71" fontId="28" fillId="0" borderId="0" xfId="0" applyNumberFormat="1" applyFont="1" applyAlignment="1">
      <alignment horizontal="center" vertical="center"/>
    </xf>
    <xf numFmtId="4" fontId="29" fillId="0" borderId="0" xfId="2" applyNumberFormat="1" applyFont="1" applyAlignment="1">
      <alignment horizontal="left" vertical="center"/>
    </xf>
    <xf numFmtId="4" fontId="30" fillId="0" borderId="0" xfId="1" applyNumberFormat="1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top" wrapText="1"/>
    </xf>
    <xf numFmtId="0" fontId="31" fillId="0" borderId="0" xfId="0" applyFont="1" applyAlignment="1">
      <alignment horizontal="left" vertical="top" wrapText="1"/>
    </xf>
    <xf numFmtId="0" fontId="2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49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top" wrapText="1"/>
    </xf>
    <xf numFmtId="0" fontId="28" fillId="0" borderId="3" xfId="0" applyFont="1" applyBorder="1" applyAlignment="1">
      <alignment horizontal="center" vertical="center"/>
    </xf>
    <xf numFmtId="0" fontId="0" fillId="0" borderId="4" xfId="0" applyBorder="1"/>
    <xf numFmtId="49" fontId="25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6" fillId="0" borderId="1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49" fontId="0" fillId="0" borderId="0" xfId="0" applyNumberFormat="1"/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5" xfId="0" applyBorder="1"/>
    <xf numFmtId="0" fontId="15" fillId="0" borderId="14" xfId="0" applyFont="1" applyBorder="1" applyAlignment="1">
      <alignment horizontal="center" vertical="center" wrapText="1"/>
    </xf>
    <xf numFmtId="0" fontId="0" fillId="0" borderId="15" xfId="0" applyBorder="1"/>
    <xf numFmtId="0" fontId="0" fillId="0" borderId="6" xfId="0" applyBorder="1"/>
    <xf numFmtId="49" fontId="17" fillId="0" borderId="9" xfId="0" applyNumberFormat="1" applyFont="1" applyBorder="1" applyAlignment="1">
      <alignment horizontal="center" vertical="center" wrapText="1"/>
    </xf>
    <xf numFmtId="49" fontId="17" fillId="0" borderId="11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8" xfId="0" applyBorder="1"/>
    <xf numFmtId="49" fontId="16" fillId="0" borderId="9" xfId="0" applyNumberFormat="1" applyFont="1" applyBorder="1" applyAlignment="1">
      <alignment horizontal="center" vertical="center" wrapText="1"/>
    </xf>
    <xf numFmtId="49" fontId="16" fillId="0" borderId="11" xfId="0" applyNumberFormat="1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_SAMPEL " xfId="2" xr:uid="{00000000-0005-0000-0000-000031000000}"/>
  </cellStyles>
  <dxfs count="106"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551180</xdr:colOff>
      <xdr:row>31</xdr:row>
      <xdr:rowOff>36830</xdr:rowOff>
    </xdr:from>
    <xdr:to>
      <xdr:col>4</xdr:col>
      <xdr:colOff>427355</xdr:colOff>
      <xdr:row>37</xdr:row>
      <xdr:rowOff>183515</xdr:rowOff>
    </xdr:to>
    <xdr:pic>
      <xdr:nvPicPr>
        <xdr:cNvPr id="2" name="图片 1" descr="微信图片_20230906130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5800" y="13981430"/>
          <a:ext cx="2181225" cy="128968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1125855</xdr:colOff>
      <xdr:row>31</xdr:row>
      <xdr:rowOff>167005</xdr:rowOff>
    </xdr:from>
    <xdr:to>
      <xdr:col>4</xdr:col>
      <xdr:colOff>772795</xdr:colOff>
      <xdr:row>37</xdr:row>
      <xdr:rowOff>10160</xdr:rowOff>
    </xdr:to>
    <xdr:pic>
      <xdr:nvPicPr>
        <xdr:cNvPr id="3" name="图片 2" descr="微信图片_2023090613065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0475" y="14111605"/>
          <a:ext cx="1951990" cy="9861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33</xdr:row>
      <xdr:rowOff>19050</xdr:rowOff>
    </xdr:from>
    <xdr:to>
      <xdr:col>6</xdr:col>
      <xdr:colOff>170180</xdr:colOff>
      <xdr:row>37</xdr:row>
      <xdr:rowOff>123190</xdr:rowOff>
    </xdr:to>
    <xdr:pic>
      <xdr:nvPicPr>
        <xdr:cNvPr id="2" name="图片 1" descr="微信图片_2023090613065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13536930"/>
          <a:ext cx="1979930" cy="11709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66675</xdr:colOff>
      <xdr:row>33</xdr:row>
      <xdr:rowOff>219075</xdr:rowOff>
    </xdr:from>
    <xdr:to>
      <xdr:col>6</xdr:col>
      <xdr:colOff>591185</xdr:colOff>
      <xdr:row>36</xdr:row>
      <xdr:rowOff>237490</xdr:rowOff>
    </xdr:to>
    <xdr:pic>
      <xdr:nvPicPr>
        <xdr:cNvPr id="3" name="图片 2" descr="微信图片_2023090613065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3950" y="13736955"/>
          <a:ext cx="1619885" cy="8185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2" name="图片 36" descr="image[1]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3" name="图片 36" descr="image[1]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4" name="图片 36" descr="image[1]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35</xdr:row>
      <xdr:rowOff>0</xdr:rowOff>
    </xdr:from>
    <xdr:to>
      <xdr:col>6</xdr:col>
      <xdr:colOff>198755</xdr:colOff>
      <xdr:row>35</xdr:row>
      <xdr:rowOff>137160</xdr:rowOff>
    </xdr:to>
    <xdr:pic>
      <xdr:nvPicPr>
        <xdr:cNvPr id="5" name="图片 36" descr="image[1]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116300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35</xdr:row>
      <xdr:rowOff>0</xdr:rowOff>
    </xdr:from>
    <xdr:to>
      <xdr:col>6</xdr:col>
      <xdr:colOff>198755</xdr:colOff>
      <xdr:row>35</xdr:row>
      <xdr:rowOff>137160</xdr:rowOff>
    </xdr:to>
    <xdr:pic>
      <xdr:nvPicPr>
        <xdr:cNvPr id="6" name="图片 36" descr="image[1]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116300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35</xdr:row>
      <xdr:rowOff>0</xdr:rowOff>
    </xdr:from>
    <xdr:to>
      <xdr:col>6</xdr:col>
      <xdr:colOff>198755</xdr:colOff>
      <xdr:row>35</xdr:row>
      <xdr:rowOff>137160</xdr:rowOff>
    </xdr:to>
    <xdr:pic>
      <xdr:nvPicPr>
        <xdr:cNvPr id="7" name="图片 36" descr="image[1]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116300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8" name="图片 36" descr="image[1]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188595</xdr:colOff>
      <xdr:row>21</xdr:row>
      <xdr:rowOff>0</xdr:rowOff>
    </xdr:from>
    <xdr:to>
      <xdr:col>6</xdr:col>
      <xdr:colOff>198755</xdr:colOff>
      <xdr:row>21</xdr:row>
      <xdr:rowOff>137160</xdr:rowOff>
    </xdr:to>
    <xdr:pic>
      <xdr:nvPicPr>
        <xdr:cNvPr id="9" name="图片 36" descr="image[1]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293370</xdr:colOff>
      <xdr:row>21</xdr:row>
      <xdr:rowOff>0</xdr:rowOff>
    </xdr:from>
    <xdr:to>
      <xdr:col>8</xdr:col>
      <xdr:colOff>303530</xdr:colOff>
      <xdr:row>21</xdr:row>
      <xdr:rowOff>137160</xdr:rowOff>
    </xdr:to>
    <xdr:pic>
      <xdr:nvPicPr>
        <xdr:cNvPr id="10" name="图片 36" descr="image[1]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2670" y="6829425"/>
          <a:ext cx="10160" cy="1371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927735</xdr:colOff>
      <xdr:row>86</xdr:row>
      <xdr:rowOff>93980</xdr:rowOff>
    </xdr:from>
    <xdr:to>
      <xdr:col>7</xdr:col>
      <xdr:colOff>170180</xdr:colOff>
      <xdr:row>87</xdr:row>
      <xdr:rowOff>1170940</xdr:rowOff>
    </xdr:to>
    <xdr:pic>
      <xdr:nvPicPr>
        <xdr:cNvPr id="11" name="图片 1" descr="微信图片_2023090613065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4160" y="29701490"/>
          <a:ext cx="2157095" cy="12750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762000</xdr:colOff>
      <xdr:row>87</xdr:row>
      <xdr:rowOff>236220</xdr:rowOff>
    </xdr:from>
    <xdr:to>
      <xdr:col>7</xdr:col>
      <xdr:colOff>467360</xdr:colOff>
      <xdr:row>87</xdr:row>
      <xdr:rowOff>1054735</xdr:rowOff>
    </xdr:to>
    <xdr:pic>
      <xdr:nvPicPr>
        <xdr:cNvPr id="12" name="图片 2" descr="微信图片_2023090613065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8550" y="30041850"/>
          <a:ext cx="1619885" cy="81851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6</xdr:col>
      <xdr:colOff>188595</xdr:colOff>
      <xdr:row>79</xdr:row>
      <xdr:rowOff>0</xdr:rowOff>
    </xdr:from>
    <xdr:ext cx="10160" cy="137160"/>
    <xdr:pic>
      <xdr:nvPicPr>
        <xdr:cNvPr id="13" name="图片 36" descr="image[1]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67176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79</xdr:row>
      <xdr:rowOff>0</xdr:rowOff>
    </xdr:from>
    <xdr:ext cx="10160" cy="137160"/>
    <xdr:pic>
      <xdr:nvPicPr>
        <xdr:cNvPr id="14" name="图片 36" descr="image[1]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67176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79</xdr:row>
      <xdr:rowOff>0</xdr:rowOff>
    </xdr:from>
    <xdr:ext cx="10160" cy="137160"/>
    <xdr:pic>
      <xdr:nvPicPr>
        <xdr:cNvPr id="15" name="图片 36" descr="image[1]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67176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79</xdr:row>
      <xdr:rowOff>0</xdr:rowOff>
    </xdr:from>
    <xdr:ext cx="10160" cy="137160"/>
    <xdr:pic>
      <xdr:nvPicPr>
        <xdr:cNvPr id="16" name="图片 36" descr="image[1]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67176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79</xdr:row>
      <xdr:rowOff>0</xdr:rowOff>
    </xdr:from>
    <xdr:ext cx="10160" cy="137160"/>
    <xdr:pic>
      <xdr:nvPicPr>
        <xdr:cNvPr id="17" name="图片 36" descr="image[1]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67176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79</xdr:row>
      <xdr:rowOff>0</xdr:rowOff>
    </xdr:from>
    <xdr:ext cx="10160" cy="137160"/>
    <xdr:pic>
      <xdr:nvPicPr>
        <xdr:cNvPr id="18" name="图片 36" descr="image[1]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67176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67</xdr:row>
      <xdr:rowOff>0</xdr:rowOff>
    </xdr:from>
    <xdr:ext cx="10160" cy="137160"/>
    <xdr:pic>
      <xdr:nvPicPr>
        <xdr:cNvPr id="19" name="图片 36" descr="image[1]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26028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67</xdr:row>
      <xdr:rowOff>0</xdr:rowOff>
    </xdr:from>
    <xdr:ext cx="10160" cy="137160"/>
    <xdr:pic>
      <xdr:nvPicPr>
        <xdr:cNvPr id="20" name="图片 36" descr="image[1]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26028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67</xdr:row>
      <xdr:rowOff>0</xdr:rowOff>
    </xdr:from>
    <xdr:ext cx="10160" cy="137160"/>
    <xdr:pic>
      <xdr:nvPicPr>
        <xdr:cNvPr id="21" name="图片 36" descr="image[1]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26028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67</xdr:row>
      <xdr:rowOff>0</xdr:rowOff>
    </xdr:from>
    <xdr:ext cx="10160" cy="137160"/>
    <xdr:pic>
      <xdr:nvPicPr>
        <xdr:cNvPr id="22" name="图片 36" descr="image[1]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26028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188595</xdr:colOff>
      <xdr:row>67</xdr:row>
      <xdr:rowOff>0</xdr:rowOff>
    </xdr:from>
    <xdr:ext cx="10160" cy="137160"/>
    <xdr:pic>
      <xdr:nvPicPr>
        <xdr:cNvPr id="23" name="图片 36" descr="image[1]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270" y="226028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8</xdr:col>
      <xdr:colOff>293370</xdr:colOff>
      <xdr:row>67</xdr:row>
      <xdr:rowOff>0</xdr:rowOff>
    </xdr:from>
    <xdr:ext cx="10160" cy="137160"/>
    <xdr:pic>
      <xdr:nvPicPr>
        <xdr:cNvPr id="24" name="图片 36" descr="image[1]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2670" y="22602825"/>
          <a:ext cx="10160" cy="13716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95"/>
  <sheetViews>
    <sheetView view="pageBreakPreview" topLeftCell="A12" zoomScale="85" zoomScaleNormal="100" workbookViewId="0">
      <selection activeCell="D18" sqref="D18"/>
    </sheetView>
  </sheetViews>
  <sheetFormatPr defaultColWidth="28.7109375" defaultRowHeight="15"/>
  <cols>
    <col min="1" max="1" width="17.7109375" style="100" customWidth="1"/>
    <col min="2" max="2" width="37" style="100" customWidth="1"/>
    <col min="3" max="3" width="42.5703125" style="100" customWidth="1"/>
    <col min="4" max="4" width="34.5703125" style="100" customWidth="1"/>
    <col min="5" max="5" width="47.5703125" style="100" customWidth="1"/>
    <col min="6" max="7" width="28.7109375" style="100" customWidth="1"/>
    <col min="8" max="16384" width="28.7109375" style="100"/>
  </cols>
  <sheetData>
    <row r="1" spans="1:6" ht="45.95" customHeight="1">
      <c r="A1" s="122" t="s">
        <v>0</v>
      </c>
      <c r="B1" s="123"/>
      <c r="C1" s="123"/>
      <c r="D1" s="123"/>
      <c r="E1" s="123"/>
    </row>
    <row r="2" spans="1:6" s="98" customFormat="1" ht="30" customHeight="1">
      <c r="A2" s="101"/>
      <c r="B2" s="101"/>
      <c r="C2" s="101"/>
      <c r="D2" s="101"/>
      <c r="E2" s="101"/>
    </row>
    <row r="3" spans="1:6" s="98" customFormat="1" ht="27" customHeight="1">
      <c r="B3" s="102"/>
      <c r="C3" s="102"/>
      <c r="D3" s="103" t="s">
        <v>1</v>
      </c>
      <c r="E3" s="104">
        <f>Invoice!G9</f>
        <v>46028</v>
      </c>
    </row>
    <row r="4" spans="1:6" s="98" customFormat="1" ht="30" customHeight="1">
      <c r="A4" s="102"/>
      <c r="B4" s="102"/>
      <c r="C4" s="102"/>
      <c r="D4" s="103" t="s">
        <v>2</v>
      </c>
      <c r="E4" s="105" t="str">
        <f>Invoice!G8</f>
        <v>JF26001</v>
      </c>
    </row>
    <row r="5" spans="1:6" s="99" customFormat="1" ht="32.1" customHeight="1">
      <c r="A5" s="106" t="s">
        <v>3</v>
      </c>
      <c r="B5" s="99" t="s">
        <v>4</v>
      </c>
    </row>
    <row r="6" spans="1:6" s="99" customFormat="1" ht="32.1" customHeight="1">
      <c r="B6" s="99" t="s">
        <v>5</v>
      </c>
    </row>
    <row r="7" spans="1:6" s="99" customFormat="1" ht="32.1" customHeight="1">
      <c r="B7" s="99" t="s">
        <v>6</v>
      </c>
    </row>
    <row r="8" spans="1:6" s="99" customFormat="1" ht="32.1" customHeight="1">
      <c r="A8" s="106" t="s">
        <v>7</v>
      </c>
      <c r="B8" s="107" t="s">
        <v>8</v>
      </c>
      <c r="C8" s="108"/>
      <c r="D8" s="108"/>
      <c r="E8" s="108"/>
    </row>
    <row r="9" spans="1:6" s="99" customFormat="1" ht="32.1" customHeight="1">
      <c r="A9" s="106" t="s">
        <v>9</v>
      </c>
      <c r="B9" s="99" t="s">
        <v>10</v>
      </c>
    </row>
    <row r="10" spans="1:6" s="99" customFormat="1" ht="45" customHeight="1">
      <c r="A10" s="106"/>
      <c r="B10" s="124" t="s">
        <v>11</v>
      </c>
      <c r="C10" s="125"/>
      <c r="D10" s="125"/>
      <c r="E10" s="125"/>
    </row>
    <row r="11" spans="1:6" s="99" customFormat="1" ht="32.1" customHeight="1">
      <c r="A11" s="106"/>
      <c r="B11" s="124" t="s">
        <v>12</v>
      </c>
      <c r="C11" s="125"/>
      <c r="D11" s="125"/>
      <c r="E11" s="125"/>
    </row>
    <row r="12" spans="1:6" s="99" customFormat="1" ht="30" customHeight="1">
      <c r="A12" s="99" t="s">
        <v>13</v>
      </c>
      <c r="E12" s="106"/>
    </row>
    <row r="13" spans="1:6" s="99" customFormat="1" ht="60.95" customHeight="1">
      <c r="A13" s="126" t="s">
        <v>14</v>
      </c>
      <c r="B13" s="125"/>
      <c r="C13" s="125"/>
      <c r="D13" s="125"/>
      <c r="E13" s="125"/>
    </row>
    <row r="14" spans="1:6" s="99" customFormat="1" ht="54.95" customHeight="1">
      <c r="A14" s="127" t="s">
        <v>15</v>
      </c>
      <c r="B14" s="125"/>
      <c r="C14" s="125"/>
      <c r="D14" s="125"/>
      <c r="E14" s="125"/>
    </row>
    <row r="15" spans="1:6" ht="36" customHeight="1">
      <c r="A15" s="109" t="s">
        <v>16</v>
      </c>
      <c r="B15" s="109" t="s">
        <v>17</v>
      </c>
      <c r="C15" s="109" t="s">
        <v>18</v>
      </c>
      <c r="D15" s="109" t="s">
        <v>19</v>
      </c>
      <c r="E15" s="109" t="s">
        <v>20</v>
      </c>
    </row>
    <row r="16" spans="1:6" ht="96.95" customHeight="1">
      <c r="A16" s="109">
        <v>1</v>
      </c>
      <c r="B16" s="75" t="s">
        <v>21</v>
      </c>
      <c r="C16" s="78">
        <v>205429.4</v>
      </c>
      <c r="D16" s="77">
        <f>E16/C16</f>
        <v>1.3265683295574999</v>
      </c>
      <c r="E16" s="78">
        <v>272516.136</v>
      </c>
      <c r="F16" s="110"/>
    </row>
    <row r="17" spans="1:6" ht="36" customHeight="1">
      <c r="A17" s="109">
        <v>2</v>
      </c>
      <c r="B17" s="52" t="s">
        <v>22</v>
      </c>
      <c r="C17" s="78">
        <v>3851.2</v>
      </c>
      <c r="D17" s="77">
        <f>E17/C17</f>
        <v>0.88</v>
      </c>
      <c r="E17" s="78">
        <v>3389.056</v>
      </c>
      <c r="F17" s="110"/>
    </row>
    <row r="18" spans="1:6" ht="36" customHeight="1">
      <c r="A18" s="128" t="s">
        <v>23</v>
      </c>
      <c r="B18" s="129"/>
      <c r="C18" s="112">
        <f>SUM(C16:C17)</f>
        <v>209280.6</v>
      </c>
      <c r="D18" s="111"/>
      <c r="E18" s="112">
        <f>SUM(E16:E17)</f>
        <v>275905.19199999998</v>
      </c>
    </row>
    <row r="19" spans="1:6" ht="29.1" customHeight="1">
      <c r="A19" s="113"/>
      <c r="C19" s="114"/>
      <c r="D19" s="114"/>
      <c r="E19" s="114"/>
    </row>
    <row r="20" spans="1:6" ht="19.149999999999999" customHeight="1">
      <c r="A20" s="115" t="s">
        <v>24</v>
      </c>
      <c r="B20" s="116" t="s">
        <v>25</v>
      </c>
      <c r="C20" s="106"/>
      <c r="D20" s="106"/>
      <c r="E20" s="106"/>
    </row>
    <row r="21" spans="1:6" ht="45.95" customHeight="1">
      <c r="A21" s="106" t="s">
        <v>26</v>
      </c>
      <c r="B21" s="106"/>
      <c r="C21" s="106"/>
      <c r="D21" s="106"/>
      <c r="E21" s="106"/>
    </row>
    <row r="22" spans="1:6" ht="41.1" customHeight="1">
      <c r="A22" s="106" t="s">
        <v>27</v>
      </c>
      <c r="B22" s="106"/>
      <c r="C22" s="106"/>
      <c r="D22" s="106"/>
      <c r="E22" s="106"/>
    </row>
    <row r="23" spans="1:6" ht="29.1" customHeight="1">
      <c r="A23" s="106" t="s">
        <v>28</v>
      </c>
      <c r="B23" s="106"/>
      <c r="C23" s="106" t="s">
        <v>4</v>
      </c>
      <c r="D23" s="106"/>
      <c r="E23" s="106"/>
    </row>
    <row r="24" spans="1:6" ht="45.95" customHeight="1">
      <c r="A24" s="106" t="s">
        <v>29</v>
      </c>
      <c r="B24" s="106"/>
      <c r="C24" s="127" t="s">
        <v>30</v>
      </c>
      <c r="D24" s="123"/>
      <c r="E24" s="123"/>
    </row>
    <row r="25" spans="1:6" ht="41.1" customHeight="1">
      <c r="A25" s="106" t="s">
        <v>31</v>
      </c>
      <c r="B25" s="106"/>
      <c r="C25" s="127" t="s">
        <v>32</v>
      </c>
      <c r="D25" s="123"/>
      <c r="E25" s="123"/>
    </row>
    <row r="26" spans="1:6" ht="29.1" customHeight="1">
      <c r="A26" s="106" t="s">
        <v>33</v>
      </c>
      <c r="B26" s="106"/>
      <c r="C26" s="130" t="s">
        <v>34</v>
      </c>
      <c r="D26" s="123"/>
      <c r="E26" s="123"/>
    </row>
    <row r="27" spans="1:6" ht="21" customHeight="1">
      <c r="A27" s="106" t="s">
        <v>35</v>
      </c>
      <c r="B27" s="106"/>
      <c r="C27" s="106" t="s">
        <v>36</v>
      </c>
      <c r="D27" s="106"/>
      <c r="E27" s="106"/>
    </row>
    <row r="28" spans="1:6" ht="19.5">
      <c r="A28" s="106"/>
      <c r="B28" s="106"/>
      <c r="C28" s="106"/>
      <c r="D28" s="106"/>
      <c r="E28" s="106"/>
      <c r="F28" s="106"/>
    </row>
    <row r="29" spans="1:6" ht="20.25">
      <c r="A29" s="117" t="s">
        <v>37</v>
      </c>
      <c r="D29" s="118" t="s">
        <v>38</v>
      </c>
    </row>
    <row r="30" spans="1:6" ht="20.25">
      <c r="A30" s="119" t="s">
        <v>10</v>
      </c>
      <c r="B30" s="120"/>
      <c r="C30" s="121"/>
      <c r="D30" s="119" t="s">
        <v>4</v>
      </c>
      <c r="E30" s="119"/>
    </row>
    <row r="184" ht="27.95" customHeight="1"/>
    <row r="195" spans="1:2" ht="27.95" customHeight="1">
      <c r="A195" s="123"/>
      <c r="B195" s="123"/>
    </row>
  </sheetData>
  <mergeCells count="10">
    <mergeCell ref="A18:B18"/>
    <mergeCell ref="C24:E24"/>
    <mergeCell ref="C25:E25"/>
    <mergeCell ref="C26:E26"/>
    <mergeCell ref="A195:B195"/>
    <mergeCell ref="A1:E1"/>
    <mergeCell ref="B10:E10"/>
    <mergeCell ref="B11:E11"/>
    <mergeCell ref="A13:E13"/>
    <mergeCell ref="A14:E14"/>
  </mergeCells>
  <printOptions horizontalCentered="1"/>
  <pageMargins left="0.1" right="0.1" top="0.75" bottom="0.75" header="0.5" footer="0.5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51"/>
  <sheetViews>
    <sheetView view="pageBreakPreview" topLeftCell="A13" zoomScaleNormal="85" workbookViewId="0">
      <selection activeCell="C22" sqref="C22"/>
    </sheetView>
  </sheetViews>
  <sheetFormatPr defaultColWidth="7.140625" defaultRowHeight="15"/>
  <cols>
    <col min="1" max="1" width="24.28515625" customWidth="1"/>
    <col min="2" max="2" width="37.5703125" customWidth="1"/>
    <col min="3" max="3" width="36.7109375" customWidth="1"/>
    <col min="4" max="4" width="15.85546875" customWidth="1"/>
    <col min="5" max="5" width="15.7109375" customWidth="1"/>
    <col min="6" max="6" width="16.42578125" customWidth="1"/>
    <col min="7" max="7" width="24.85546875" style="3" customWidth="1"/>
    <col min="8" max="8" width="25.140625" customWidth="1"/>
    <col min="9" max="9" width="15.5703125" customWidth="1"/>
    <col min="10" max="10" width="10.28515625" customWidth="1"/>
    <col min="12" max="12" width="12.42578125" customWidth="1"/>
  </cols>
  <sheetData>
    <row r="1" spans="1:7" ht="38.25" customHeight="1">
      <c r="A1" s="131" t="s">
        <v>39</v>
      </c>
      <c r="B1" s="132"/>
      <c r="C1" s="132"/>
      <c r="D1" s="132"/>
      <c r="E1" s="132"/>
      <c r="F1" s="132"/>
      <c r="G1" s="133"/>
    </row>
    <row r="2" spans="1:7" ht="24" customHeight="1">
      <c r="A2" s="134" t="s">
        <v>40</v>
      </c>
      <c r="B2" s="132"/>
      <c r="C2" s="132"/>
      <c r="D2" s="132"/>
      <c r="E2" s="132"/>
      <c r="F2" s="132"/>
      <c r="G2" s="133"/>
    </row>
    <row r="3" spans="1:7" ht="17.25" customHeight="1">
      <c r="A3" s="135" t="s">
        <v>6</v>
      </c>
      <c r="B3" s="132"/>
      <c r="C3" s="132"/>
      <c r="D3" s="132"/>
      <c r="E3" s="132"/>
      <c r="F3" s="132"/>
      <c r="G3" s="133"/>
    </row>
    <row r="4" spans="1:7" ht="17.25" customHeight="1">
      <c r="A4" s="134" t="s">
        <v>41</v>
      </c>
      <c r="B4" s="132"/>
      <c r="C4" s="132"/>
      <c r="D4" s="132"/>
      <c r="E4" s="132"/>
      <c r="F4" s="132"/>
      <c r="G4" s="133"/>
    </row>
    <row r="5" spans="1:7" ht="25.5" customHeight="1">
      <c r="A5" s="136" t="s">
        <v>42</v>
      </c>
      <c r="B5" s="137"/>
      <c r="C5" s="137"/>
      <c r="D5" s="137"/>
      <c r="E5" s="137"/>
      <c r="F5" s="137"/>
      <c r="G5" s="137"/>
    </row>
    <row r="6" spans="1:7" ht="83.25" customHeight="1">
      <c r="A6" s="138" t="s">
        <v>43</v>
      </c>
      <c r="B6" s="139"/>
      <c r="C6" s="139"/>
      <c r="D6" s="139"/>
      <c r="E6" s="139"/>
      <c r="F6" s="139"/>
      <c r="G6" s="139"/>
    </row>
    <row r="7" spans="1:7" ht="14.25" customHeight="1">
      <c r="A7" s="6"/>
      <c r="B7" s="6"/>
      <c r="C7" s="6"/>
      <c r="D7" s="6"/>
      <c r="E7" s="6"/>
      <c r="F7" s="8" t="s">
        <v>44</v>
      </c>
      <c r="G7" s="67" t="str">
        <f>'Packing list'!I7</f>
        <v>CLF2026-009</v>
      </c>
    </row>
    <row r="8" spans="1:7" ht="30" customHeight="1">
      <c r="A8" s="9" t="s">
        <v>45</v>
      </c>
      <c r="B8" s="68" t="s">
        <v>39</v>
      </c>
      <c r="E8" s="68"/>
      <c r="F8" s="11" t="s">
        <v>46</v>
      </c>
      <c r="G8" s="69" t="str">
        <f>'Packing list'!I8</f>
        <v>JF26001</v>
      </c>
    </row>
    <row r="9" spans="1:7" ht="21" customHeight="1">
      <c r="A9" s="6"/>
      <c r="B9" s="6" t="s">
        <v>47</v>
      </c>
      <c r="E9" s="6"/>
      <c r="F9" s="11" t="s">
        <v>48</v>
      </c>
      <c r="G9" s="36">
        <f>'Packing list'!I9</f>
        <v>46028</v>
      </c>
    </row>
    <row r="10" spans="1:7" ht="22.5" customHeight="1">
      <c r="A10" s="6"/>
      <c r="B10" s="6" t="s">
        <v>49</v>
      </c>
      <c r="E10" s="6"/>
      <c r="F10" s="12" t="str">
        <f>'Packing list'!H10</f>
        <v>DAF :</v>
      </c>
      <c r="G10" s="70" t="str">
        <f>'Packing list'!I10</f>
        <v>BAVET</v>
      </c>
    </row>
    <row r="11" spans="1:7" ht="20.25" customHeight="1">
      <c r="A11" s="6"/>
      <c r="B11" s="6" t="s">
        <v>42</v>
      </c>
      <c r="E11" s="6"/>
      <c r="F11" s="6"/>
      <c r="G11" s="5"/>
    </row>
    <row r="12" spans="1:7" ht="15.75" customHeight="1">
      <c r="A12" s="6"/>
      <c r="B12" s="6"/>
      <c r="C12" s="6"/>
      <c r="D12" s="6"/>
      <c r="E12" s="6"/>
      <c r="F12" s="6"/>
      <c r="G12" s="5"/>
    </row>
    <row r="13" spans="1:7" ht="25.5" customHeight="1">
      <c r="A13" s="13" t="s">
        <v>50</v>
      </c>
      <c r="B13" s="71" t="s">
        <v>10</v>
      </c>
      <c r="E13" s="72"/>
      <c r="F13" s="72"/>
      <c r="G13" s="21"/>
    </row>
    <row r="14" spans="1:7" ht="25.5" customHeight="1">
      <c r="A14" s="6"/>
      <c r="B14" s="73" t="s">
        <v>51</v>
      </c>
      <c r="C14" s="17"/>
      <c r="D14" s="17"/>
      <c r="E14" s="17"/>
      <c r="F14" s="17"/>
    </row>
    <row r="15" spans="1:7" ht="25.5" customHeight="1">
      <c r="A15" s="6"/>
      <c r="B15" s="22" t="s">
        <v>52</v>
      </c>
      <c r="C15" s="20"/>
      <c r="D15" s="20"/>
      <c r="E15" s="20"/>
      <c r="F15" s="21"/>
    </row>
    <row r="16" spans="1:7" ht="25.5" customHeight="1">
      <c r="A16" s="6"/>
      <c r="B16" s="65" t="s">
        <v>53</v>
      </c>
      <c r="C16" s="20"/>
      <c r="D16" s="20"/>
      <c r="E16" s="20"/>
      <c r="F16" s="20"/>
    </row>
    <row r="17" spans="1:15" ht="25.5" customHeight="1">
      <c r="A17" s="6"/>
      <c r="B17" s="65" t="s">
        <v>54</v>
      </c>
      <c r="C17" s="20"/>
      <c r="D17" s="20"/>
      <c r="E17" s="20"/>
      <c r="F17" s="21"/>
    </row>
    <row r="18" spans="1:15" ht="25.5" customHeight="1">
      <c r="A18" s="6"/>
      <c r="B18" s="65" t="s">
        <v>55</v>
      </c>
      <c r="C18" s="6"/>
      <c r="D18" s="6"/>
      <c r="E18" s="6"/>
      <c r="F18" s="5"/>
    </row>
    <row r="19" spans="1:15" ht="27.75" customHeight="1">
      <c r="A19" s="23" t="s">
        <v>56</v>
      </c>
      <c r="B19" s="6" t="s">
        <v>57</v>
      </c>
      <c r="F19" s="3"/>
    </row>
    <row r="20" spans="1:15" ht="27.75" customHeight="1">
      <c r="A20" s="24"/>
      <c r="B20" s="24"/>
    </row>
    <row r="21" spans="1:15" ht="35.1" customHeight="1">
      <c r="A21" s="26" t="s">
        <v>58</v>
      </c>
      <c r="B21" s="26" t="s">
        <v>59</v>
      </c>
      <c r="C21" s="26" t="s">
        <v>17</v>
      </c>
      <c r="D21" s="26" t="s">
        <v>60</v>
      </c>
      <c r="E21" s="26" t="s">
        <v>18</v>
      </c>
      <c r="F21" s="26" t="s">
        <v>61</v>
      </c>
      <c r="G21" s="26" t="s">
        <v>62</v>
      </c>
    </row>
    <row r="22" spans="1:15" ht="105" customHeight="1">
      <c r="A22" s="74" t="s">
        <v>63</v>
      </c>
      <c r="B22" s="75" t="s">
        <v>64</v>
      </c>
      <c r="C22" s="75" t="s">
        <v>21</v>
      </c>
      <c r="D22" s="144" t="s">
        <v>65</v>
      </c>
      <c r="E22" s="76">
        <v>205429.4</v>
      </c>
      <c r="F22" s="77">
        <f>G22/E22</f>
        <v>1.3265683295574999</v>
      </c>
      <c r="G22" s="78">
        <v>272516.136</v>
      </c>
    </row>
    <row r="23" spans="1:15" ht="35.1" customHeight="1">
      <c r="A23" s="79" t="s">
        <v>66</v>
      </c>
      <c r="B23" s="52" t="s">
        <v>67</v>
      </c>
      <c r="C23" s="52" t="s">
        <v>22</v>
      </c>
      <c r="D23" s="145"/>
      <c r="E23" s="80">
        <v>3851.2</v>
      </c>
      <c r="F23" s="77">
        <f>G23/E23</f>
        <v>0.88</v>
      </c>
      <c r="G23" s="78">
        <v>3389.056</v>
      </c>
    </row>
    <row r="24" spans="1:15" ht="35.1" customHeight="1">
      <c r="A24" s="79" t="s">
        <v>68</v>
      </c>
      <c r="B24" s="52"/>
      <c r="C24" s="52"/>
      <c r="D24" s="81"/>
      <c r="E24" s="78"/>
      <c r="F24" s="78"/>
      <c r="G24" s="78"/>
    </row>
    <row r="25" spans="1:15" ht="35.1" customHeight="1">
      <c r="A25" s="82"/>
      <c r="B25" s="82" t="s">
        <v>23</v>
      </c>
      <c r="C25" s="82" t="s">
        <v>69</v>
      </c>
      <c r="D25" s="82"/>
      <c r="E25" s="83">
        <f>SUM(E22:E24)</f>
        <v>209280.6</v>
      </c>
      <c r="F25" s="82"/>
      <c r="G25" s="83">
        <f>SUM(G22:G24)</f>
        <v>275905.19199999998</v>
      </c>
    </row>
    <row r="26" spans="1:15" ht="42" customHeight="1">
      <c r="A26" s="84"/>
      <c r="B26" s="84"/>
      <c r="C26" s="85"/>
      <c r="D26" s="85"/>
      <c r="E26" s="85"/>
      <c r="F26" s="85"/>
      <c r="G26" s="21"/>
      <c r="L26" s="45"/>
      <c r="M26" s="97"/>
      <c r="N26" s="48"/>
      <c r="O26" s="48"/>
    </row>
    <row r="27" spans="1:15" ht="42" customHeight="1">
      <c r="A27" s="140" t="s">
        <v>70</v>
      </c>
      <c r="B27" s="132"/>
      <c r="C27" s="132"/>
      <c r="D27" s="60"/>
      <c r="E27" s="6"/>
      <c r="F27" s="86"/>
      <c r="G27" s="5"/>
      <c r="L27" s="45"/>
      <c r="M27" s="97"/>
      <c r="N27" s="48"/>
      <c r="O27" s="48"/>
    </row>
    <row r="28" spans="1:15" ht="61.5" customHeight="1">
      <c r="A28" s="62" t="s">
        <v>71</v>
      </c>
      <c r="B28" s="141" t="s">
        <v>72</v>
      </c>
      <c r="C28" s="132"/>
      <c r="D28" s="87"/>
      <c r="E28" s="87"/>
      <c r="F28" s="6"/>
      <c r="G28" s="5"/>
      <c r="L28" s="45"/>
      <c r="M28" s="97"/>
      <c r="N28" s="48"/>
      <c r="O28" s="48"/>
    </row>
    <row r="29" spans="1:15" ht="42" customHeight="1">
      <c r="A29" s="142" t="s">
        <v>73</v>
      </c>
      <c r="B29" s="132"/>
      <c r="C29" s="132"/>
      <c r="D29" s="88"/>
      <c r="E29" s="88"/>
      <c r="F29" s="88"/>
      <c r="G29" s="5"/>
      <c r="L29" s="45"/>
      <c r="M29" s="97"/>
      <c r="N29" s="48"/>
      <c r="O29" s="48"/>
    </row>
    <row r="30" spans="1:15" ht="24.75" customHeight="1">
      <c r="A30" s="143" t="s">
        <v>74</v>
      </c>
      <c r="B30" s="132"/>
      <c r="C30" s="132"/>
      <c r="D30" s="132"/>
      <c r="E30" s="132"/>
      <c r="F30" s="132"/>
      <c r="G30" s="133"/>
      <c r="L30" s="45"/>
      <c r="M30" s="97"/>
      <c r="N30" s="48"/>
      <c r="O30" s="48"/>
    </row>
    <row r="31" spans="1:15" ht="27" customHeight="1">
      <c r="A31" s="143" t="s">
        <v>75</v>
      </c>
      <c r="B31" s="132"/>
      <c r="C31" s="132"/>
      <c r="D31" s="132"/>
      <c r="E31" s="132"/>
      <c r="F31" s="132"/>
      <c r="G31" s="133"/>
      <c r="L31" s="45"/>
      <c r="M31" s="97"/>
      <c r="N31" s="48"/>
      <c r="O31" s="48"/>
    </row>
    <row r="32" spans="1:15" ht="21" customHeight="1">
      <c r="E32" s="89" t="s">
        <v>39</v>
      </c>
      <c r="F32" s="89"/>
      <c r="G32" s="89"/>
      <c r="H32" s="89"/>
      <c r="L32" s="45"/>
      <c r="M32" s="97"/>
      <c r="N32" s="48"/>
      <c r="O32" s="48"/>
    </row>
    <row r="33" spans="4:15" ht="21" customHeight="1">
      <c r="D33" s="90"/>
      <c r="E33" s="91"/>
      <c r="F33" s="92" t="s">
        <v>76</v>
      </c>
      <c r="G33" s="93"/>
      <c r="L33" s="45"/>
      <c r="M33" s="97"/>
      <c r="N33" s="48"/>
      <c r="O33" s="48"/>
    </row>
    <row r="34" spans="4:15" ht="21" customHeight="1">
      <c r="D34" s="90"/>
      <c r="E34" s="91"/>
      <c r="F34" s="91"/>
      <c r="G34" s="93"/>
      <c r="L34" s="45"/>
      <c r="M34" s="97"/>
      <c r="N34" s="48"/>
      <c r="O34" s="48"/>
    </row>
    <row r="35" spans="4:15" ht="21" customHeight="1">
      <c r="D35" s="90"/>
      <c r="E35" s="91"/>
      <c r="F35" s="91"/>
      <c r="G35" s="93"/>
      <c r="L35" s="45"/>
      <c r="M35" s="97"/>
      <c r="N35" s="48"/>
      <c r="O35" s="48"/>
    </row>
    <row r="36" spans="4:15" ht="21" customHeight="1">
      <c r="D36" s="90"/>
      <c r="E36" s="91"/>
      <c r="F36" s="91"/>
      <c r="G36" s="93"/>
      <c r="L36" s="45"/>
      <c r="M36" s="97"/>
      <c r="N36" s="48"/>
      <c r="O36" s="48"/>
    </row>
    <row r="37" spans="4:15" ht="21" customHeight="1">
      <c r="D37" s="90"/>
      <c r="E37" s="91"/>
      <c r="F37" s="91"/>
      <c r="G37" s="93"/>
      <c r="L37" s="45"/>
      <c r="M37" s="97"/>
      <c r="N37" s="48"/>
      <c r="O37" s="48"/>
    </row>
    <row r="38" spans="4:15" ht="21" customHeight="1">
      <c r="D38" s="90"/>
      <c r="E38" s="91"/>
      <c r="F38" s="91"/>
      <c r="G38" s="93"/>
      <c r="L38" s="45"/>
      <c r="M38" s="97"/>
      <c r="N38" s="48"/>
      <c r="O38" s="48"/>
    </row>
    <row r="39" spans="4:15" ht="17.25" customHeight="1">
      <c r="D39" s="90"/>
      <c r="E39" s="91"/>
      <c r="F39" s="94" t="s">
        <v>77</v>
      </c>
      <c r="G39" s="94"/>
      <c r="L39" s="45"/>
      <c r="M39" s="97"/>
      <c r="N39" s="48"/>
      <c r="O39" s="48"/>
    </row>
    <row r="40" spans="4:15">
      <c r="D40" s="95"/>
      <c r="E40" s="95"/>
      <c r="F40" s="95"/>
      <c r="G40" s="96"/>
    </row>
    <row r="41" spans="4:15">
      <c r="D41" s="95"/>
      <c r="E41" s="95"/>
      <c r="F41" s="95"/>
      <c r="G41" s="96"/>
    </row>
    <row r="51" ht="15" customHeight="1"/>
  </sheetData>
  <autoFilter ref="A21:G25" xr:uid="{00000000-0009-0000-0000-000001000000}"/>
  <mergeCells count="12">
    <mergeCell ref="A31:G31"/>
    <mergeCell ref="D22:D23"/>
    <mergeCell ref="A6:G6"/>
    <mergeCell ref="A27:C27"/>
    <mergeCell ref="B28:C28"/>
    <mergeCell ref="A29:C29"/>
    <mergeCell ref="A30:G30"/>
    <mergeCell ref="A1:G1"/>
    <mergeCell ref="A2:G2"/>
    <mergeCell ref="A3:G3"/>
    <mergeCell ref="A4:G4"/>
    <mergeCell ref="A5:G5"/>
  </mergeCells>
  <conditionalFormatting sqref="E23">
    <cfRule type="duplicateValues" dxfId="105" priority="1"/>
    <cfRule type="duplicateValues" dxfId="104" priority="2"/>
  </conditionalFormatting>
  <conditionalFormatting sqref="J23:J24">
    <cfRule type="duplicateValues" priority="7" stopIfTrue="1"/>
    <cfRule type="uniqueValues" priority="8" stopIfTrue="1"/>
  </conditionalFormatting>
  <printOptions horizontalCentered="1"/>
  <pageMargins left="0.1" right="0.1" top="0.75" bottom="0.75" header="0.5" footer="0.5"/>
  <pageSetup paperSize="9"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91"/>
  <sheetViews>
    <sheetView tabSelected="1" view="pageBreakPreview" topLeftCell="A64" zoomScaleNormal="70" workbookViewId="0">
      <selection activeCell="F75" sqref="F75"/>
    </sheetView>
  </sheetViews>
  <sheetFormatPr defaultColWidth="7.140625" defaultRowHeight="15"/>
  <cols>
    <col min="1" max="1" width="25.42578125" customWidth="1"/>
    <col min="2" max="2" width="22.85546875" style="2" customWidth="1"/>
    <col min="3" max="3" width="19.42578125" customWidth="1"/>
    <col min="4" max="4" width="17.5703125" customWidth="1"/>
    <col min="5" max="6" width="15" style="3" customWidth="1"/>
    <col min="7" max="7" width="13.7109375" style="3" customWidth="1"/>
    <col min="8" max="8" width="15.5703125" style="3" customWidth="1"/>
    <col min="9" max="9" width="23.7109375" style="3" customWidth="1"/>
    <col min="10" max="10" width="12.42578125" style="4" customWidth="1"/>
    <col min="11" max="11" width="12.85546875" customWidth="1"/>
    <col min="12" max="12" width="12.5703125" customWidth="1"/>
    <col min="14" max="14" width="12.5703125" customWidth="1"/>
    <col min="16" max="16" width="12.5703125" customWidth="1"/>
  </cols>
  <sheetData>
    <row r="1" spans="1:9" ht="38.25" customHeight="1">
      <c r="A1" s="131" t="s">
        <v>39</v>
      </c>
      <c r="B1" s="146"/>
      <c r="C1" s="132"/>
      <c r="D1" s="132"/>
      <c r="E1" s="133"/>
      <c r="F1" s="133"/>
      <c r="G1" s="133"/>
      <c r="H1" s="133"/>
      <c r="I1" s="133"/>
    </row>
    <row r="2" spans="1:9" ht="24" customHeight="1">
      <c r="A2" s="134" t="s">
        <v>40</v>
      </c>
      <c r="B2" s="146"/>
      <c r="C2" s="132"/>
      <c r="D2" s="132"/>
      <c r="E2" s="133"/>
      <c r="F2" s="133"/>
      <c r="G2" s="133"/>
      <c r="H2" s="133"/>
      <c r="I2" s="133"/>
    </row>
    <row r="3" spans="1:9" ht="25.5" customHeight="1">
      <c r="A3" s="135" t="s">
        <v>6</v>
      </c>
      <c r="B3" s="146"/>
      <c r="C3" s="132"/>
      <c r="D3" s="132"/>
      <c r="E3" s="133"/>
      <c r="F3" s="133"/>
      <c r="G3" s="133"/>
      <c r="H3" s="133"/>
      <c r="I3" s="133"/>
    </row>
    <row r="4" spans="1:9" ht="25.5" customHeight="1">
      <c r="A4" s="134" t="s">
        <v>41</v>
      </c>
      <c r="B4" s="146"/>
      <c r="C4" s="132"/>
      <c r="D4" s="132"/>
      <c r="E4" s="133"/>
      <c r="F4" s="133"/>
      <c r="G4" s="133"/>
      <c r="H4" s="133"/>
      <c r="I4" s="133"/>
    </row>
    <row r="5" spans="1:9" ht="25.5" customHeight="1">
      <c r="A5" s="136" t="s">
        <v>42</v>
      </c>
      <c r="B5" s="137"/>
      <c r="C5" s="137"/>
      <c r="D5" s="137"/>
      <c r="E5" s="137"/>
      <c r="F5" s="137"/>
      <c r="G5" s="137"/>
      <c r="H5" s="137"/>
      <c r="I5" s="137"/>
    </row>
    <row r="6" spans="1:9" ht="54" customHeight="1">
      <c r="A6" s="138" t="s">
        <v>78</v>
      </c>
      <c r="B6" s="139"/>
      <c r="C6" s="139"/>
      <c r="D6" s="139"/>
      <c r="E6" s="139"/>
      <c r="F6" s="139"/>
      <c r="G6" s="139"/>
      <c r="H6" s="139"/>
      <c r="I6" s="139"/>
    </row>
    <row r="7" spans="1:9" ht="18" customHeight="1">
      <c r="A7" s="6"/>
      <c r="B7" s="7"/>
      <c r="C7" s="6"/>
      <c r="D7" s="6"/>
      <c r="E7" s="5"/>
      <c r="F7" s="5"/>
      <c r="G7" s="5"/>
      <c r="H7" s="8" t="s">
        <v>44</v>
      </c>
      <c r="I7" s="34" t="s">
        <v>79</v>
      </c>
    </row>
    <row r="8" spans="1:9" ht="30" customHeight="1">
      <c r="A8" s="9" t="s">
        <v>45</v>
      </c>
      <c r="B8" s="10" t="s">
        <v>39</v>
      </c>
      <c r="F8" s="11"/>
      <c r="G8" s="11"/>
      <c r="H8" s="11" t="s">
        <v>46</v>
      </c>
      <c r="I8" s="35" t="s">
        <v>80</v>
      </c>
    </row>
    <row r="9" spans="1:9" ht="21" customHeight="1">
      <c r="A9" s="6"/>
      <c r="B9" s="7" t="s">
        <v>81</v>
      </c>
      <c r="F9" s="5"/>
      <c r="G9" s="5"/>
      <c r="H9" s="11" t="s">
        <v>48</v>
      </c>
      <c r="I9" s="36">
        <v>46028</v>
      </c>
    </row>
    <row r="10" spans="1:9" ht="22.5" customHeight="1">
      <c r="A10" s="6"/>
      <c r="B10" s="7" t="s">
        <v>82</v>
      </c>
      <c r="F10" s="5"/>
      <c r="G10" s="5"/>
      <c r="H10" s="12" t="s">
        <v>83</v>
      </c>
      <c r="I10" s="37" t="s">
        <v>25</v>
      </c>
    </row>
    <row r="11" spans="1:9" ht="20.25" customHeight="1">
      <c r="A11" s="6"/>
      <c r="B11" s="7" t="s">
        <v>42</v>
      </c>
      <c r="F11" s="5"/>
      <c r="G11" s="5"/>
      <c r="H11" s="5"/>
      <c r="I11" s="5"/>
    </row>
    <row r="12" spans="1:9" ht="15.75" customHeight="1">
      <c r="A12" s="6"/>
      <c r="B12" s="7"/>
      <c r="C12" s="6"/>
      <c r="D12" s="6"/>
      <c r="E12" s="5"/>
      <c r="F12" s="5"/>
      <c r="G12" s="5"/>
      <c r="H12" s="5"/>
      <c r="I12" s="5"/>
    </row>
    <row r="13" spans="1:9" ht="25.5" customHeight="1">
      <c r="A13" s="13" t="s">
        <v>50</v>
      </c>
      <c r="B13" s="14" t="s">
        <v>10</v>
      </c>
      <c r="F13" s="15"/>
      <c r="G13" s="15"/>
      <c r="H13" s="15"/>
      <c r="I13" s="21"/>
    </row>
    <row r="14" spans="1:9" ht="25.5" customHeight="1">
      <c r="A14" s="6"/>
      <c r="B14" s="16" t="s">
        <v>84</v>
      </c>
      <c r="C14" s="17"/>
      <c r="D14" s="17"/>
      <c r="E14" s="18"/>
      <c r="F14" s="18"/>
      <c r="G14" s="18"/>
      <c r="H14" s="18"/>
    </row>
    <row r="15" spans="1:9" ht="21" customHeight="1">
      <c r="A15" s="6"/>
      <c r="B15" s="19" t="s">
        <v>12</v>
      </c>
      <c r="C15" s="20"/>
      <c r="D15" s="20"/>
      <c r="E15" s="21"/>
      <c r="F15" s="21"/>
      <c r="G15" s="21"/>
      <c r="H15" s="21"/>
    </row>
    <row r="16" spans="1:9" ht="21" customHeight="1">
      <c r="A16" s="6"/>
      <c r="B16" s="22" t="s">
        <v>53</v>
      </c>
      <c r="C16" s="20"/>
      <c r="D16" s="20"/>
      <c r="E16" s="21"/>
      <c r="F16" s="21"/>
      <c r="G16" s="21"/>
      <c r="H16" s="21"/>
    </row>
    <row r="17" spans="1:9" ht="21" customHeight="1">
      <c r="A17" s="6"/>
      <c r="B17" s="22" t="s">
        <v>85</v>
      </c>
      <c r="C17" s="20"/>
      <c r="D17" s="20"/>
      <c r="E17" s="21"/>
      <c r="F17" s="21"/>
      <c r="G17" s="21"/>
      <c r="H17" s="21"/>
    </row>
    <row r="18" spans="1:9" ht="21" customHeight="1">
      <c r="A18" s="6"/>
      <c r="B18" s="22" t="s">
        <v>55</v>
      </c>
      <c r="C18" s="6"/>
      <c r="D18" s="6"/>
      <c r="E18" s="5"/>
      <c r="F18" s="5"/>
      <c r="G18" s="5"/>
      <c r="H18" s="5"/>
    </row>
    <row r="19" spans="1:9" ht="27.75" customHeight="1">
      <c r="A19" s="23" t="s">
        <v>56</v>
      </c>
      <c r="B19" s="7" t="s">
        <v>57</v>
      </c>
    </row>
    <row r="20" spans="1:9" ht="27.75" customHeight="1">
      <c r="A20" s="24"/>
      <c r="B20" s="25"/>
    </row>
    <row r="21" spans="1:9" ht="27" customHeight="1">
      <c r="A21" s="147" t="s">
        <v>58</v>
      </c>
      <c r="B21" s="147" t="s">
        <v>86</v>
      </c>
      <c r="C21" s="147" t="s">
        <v>17</v>
      </c>
      <c r="D21" s="147" t="s">
        <v>60</v>
      </c>
      <c r="E21" s="147" t="s">
        <v>18</v>
      </c>
      <c r="F21" s="129"/>
      <c r="G21" s="147" t="s">
        <v>87</v>
      </c>
      <c r="H21" s="147" t="s">
        <v>88</v>
      </c>
      <c r="I21" s="147" t="s">
        <v>89</v>
      </c>
    </row>
    <row r="22" spans="1:9" ht="27" customHeight="1">
      <c r="A22" s="150"/>
      <c r="B22" s="150"/>
      <c r="C22" s="150"/>
      <c r="D22" s="153"/>
      <c r="E22" s="26" t="s">
        <v>90</v>
      </c>
      <c r="F22" s="26" t="s">
        <v>91</v>
      </c>
      <c r="G22" s="150"/>
      <c r="H22" s="150"/>
      <c r="I22" s="150"/>
    </row>
    <row r="23" spans="1:9" ht="27" customHeight="1">
      <c r="A23" s="27" t="s">
        <v>63</v>
      </c>
      <c r="B23" s="28" t="s">
        <v>92</v>
      </c>
      <c r="C23" s="28" t="s">
        <v>93</v>
      </c>
      <c r="D23" s="154" t="s">
        <v>65</v>
      </c>
      <c r="E23" s="29">
        <v>121</v>
      </c>
      <c r="F23" s="30">
        <v>6382.7</v>
      </c>
      <c r="G23" s="31">
        <v>631</v>
      </c>
      <c r="H23" s="32">
        <v>676</v>
      </c>
      <c r="I23" s="30">
        <v>2.3363999999999998</v>
      </c>
    </row>
    <row r="24" spans="1:9" ht="27" customHeight="1">
      <c r="A24" s="33" t="s">
        <v>94</v>
      </c>
      <c r="B24" s="28" t="s">
        <v>92</v>
      </c>
      <c r="C24" s="28" t="s">
        <v>93</v>
      </c>
      <c r="D24" s="155"/>
      <c r="E24" s="29">
        <v>125</v>
      </c>
      <c r="F24" s="30">
        <v>6852.5</v>
      </c>
      <c r="G24" s="31">
        <v>671.02713178294596</v>
      </c>
      <c r="H24" s="32">
        <v>714.63178294573595</v>
      </c>
      <c r="I24" s="30">
        <v>2.4174418604651202</v>
      </c>
    </row>
    <row r="25" spans="1:9" ht="27" customHeight="1">
      <c r="A25" s="33" t="s">
        <v>95</v>
      </c>
      <c r="B25" s="28" t="s">
        <v>92</v>
      </c>
      <c r="C25" s="28" t="s">
        <v>93</v>
      </c>
      <c r="D25" s="155"/>
      <c r="E25" s="29">
        <v>4</v>
      </c>
      <c r="F25" s="30">
        <v>154</v>
      </c>
      <c r="G25" s="31">
        <v>21.472868217054302</v>
      </c>
      <c r="H25" s="32">
        <v>22.868217054263599</v>
      </c>
      <c r="I25" s="30">
        <v>7.7358139534883699E-2</v>
      </c>
    </row>
    <row r="26" spans="1:9" ht="27" customHeight="1">
      <c r="A26" s="33" t="s">
        <v>68</v>
      </c>
      <c r="B26" s="28" t="s">
        <v>96</v>
      </c>
      <c r="C26" s="28" t="s">
        <v>97</v>
      </c>
      <c r="D26" s="155"/>
      <c r="E26" s="29">
        <v>180</v>
      </c>
      <c r="F26" s="30">
        <v>9002.2999999999993</v>
      </c>
      <c r="G26" s="31">
        <v>690.67873303167403</v>
      </c>
      <c r="H26" s="32">
        <v>727.33031674208098</v>
      </c>
      <c r="I26" s="30">
        <v>2.0319638009049799</v>
      </c>
    </row>
    <row r="27" spans="1:9" ht="27" customHeight="1">
      <c r="A27" s="33"/>
      <c r="B27" s="28" t="s">
        <v>96</v>
      </c>
      <c r="C27" s="28" t="s">
        <v>97</v>
      </c>
      <c r="D27" s="155"/>
      <c r="E27" s="29">
        <v>41</v>
      </c>
      <c r="F27" s="30">
        <v>1610.8</v>
      </c>
      <c r="G27" s="31">
        <v>157.321266968326</v>
      </c>
      <c r="H27" s="32">
        <v>165.66968325791899</v>
      </c>
      <c r="I27" s="30">
        <v>0.46283619909502299</v>
      </c>
    </row>
    <row r="28" spans="1:9" ht="27" customHeight="1">
      <c r="A28" s="33"/>
      <c r="B28" s="28" t="s">
        <v>96</v>
      </c>
      <c r="C28" s="28" t="s">
        <v>97</v>
      </c>
      <c r="D28" s="155"/>
      <c r="E28" s="29">
        <v>200</v>
      </c>
      <c r="F28" s="30">
        <v>10126.1</v>
      </c>
      <c r="G28" s="31">
        <v>813</v>
      </c>
      <c r="H28" s="32">
        <v>858</v>
      </c>
      <c r="I28" s="30">
        <v>2.5344000000000002</v>
      </c>
    </row>
    <row r="29" spans="1:9" ht="27" customHeight="1">
      <c r="A29" s="33"/>
      <c r="B29" s="28" t="s">
        <v>96</v>
      </c>
      <c r="C29" s="28" t="s">
        <v>97</v>
      </c>
      <c r="D29" s="155"/>
      <c r="E29" s="29">
        <v>170</v>
      </c>
      <c r="F29" s="30">
        <v>8444.4</v>
      </c>
      <c r="G29" s="31">
        <v>627.9375</v>
      </c>
      <c r="H29" s="32">
        <v>659.8125</v>
      </c>
      <c r="I29" s="30">
        <v>2.0196000000000001</v>
      </c>
    </row>
    <row r="30" spans="1:9" ht="27" customHeight="1">
      <c r="A30" s="33"/>
      <c r="B30" s="28" t="s">
        <v>96</v>
      </c>
      <c r="C30" s="28" t="s">
        <v>97</v>
      </c>
      <c r="D30" s="155"/>
      <c r="E30" s="29">
        <v>70</v>
      </c>
      <c r="F30" s="30">
        <v>2706.1</v>
      </c>
      <c r="G30" s="31">
        <v>258.5625</v>
      </c>
      <c r="H30" s="32">
        <v>271.6875</v>
      </c>
      <c r="I30" s="30">
        <v>0.83160000000000001</v>
      </c>
    </row>
    <row r="31" spans="1:9" ht="27" customHeight="1">
      <c r="A31" s="33"/>
      <c r="B31" s="28" t="s">
        <v>96</v>
      </c>
      <c r="C31" s="28" t="s">
        <v>97</v>
      </c>
      <c r="D31" s="155"/>
      <c r="E31" s="29">
        <v>92</v>
      </c>
      <c r="F31" s="30">
        <v>4580.7</v>
      </c>
      <c r="G31" s="31">
        <v>341.05714285714299</v>
      </c>
      <c r="H31" s="32">
        <v>370.62857142857098</v>
      </c>
      <c r="I31" s="30">
        <v>1.24909714285714</v>
      </c>
    </row>
    <row r="32" spans="1:9" ht="27" customHeight="1">
      <c r="A32" s="33"/>
      <c r="B32" s="28" t="s">
        <v>96</v>
      </c>
      <c r="C32" s="28" t="s">
        <v>97</v>
      </c>
      <c r="D32" s="155"/>
      <c r="E32" s="29">
        <v>35</v>
      </c>
      <c r="F32" s="30">
        <v>1351.9</v>
      </c>
      <c r="G32" s="31">
        <v>129.75</v>
      </c>
      <c r="H32" s="32">
        <v>141</v>
      </c>
      <c r="I32" s="30">
        <v>0.47520000000000001</v>
      </c>
    </row>
    <row r="33" spans="1:9" ht="27" customHeight="1">
      <c r="A33" s="33"/>
      <c r="B33" s="28" t="s">
        <v>96</v>
      </c>
      <c r="C33" s="28" t="s">
        <v>97</v>
      </c>
      <c r="D33" s="155"/>
      <c r="E33" s="29">
        <v>13</v>
      </c>
      <c r="F33" s="30">
        <v>535.6</v>
      </c>
      <c r="G33" s="31">
        <v>48.1928571428571</v>
      </c>
      <c r="H33" s="32">
        <v>52.371428571428602</v>
      </c>
      <c r="I33" s="30">
        <v>0.17650285714285699</v>
      </c>
    </row>
    <row r="34" spans="1:9" ht="27" customHeight="1">
      <c r="A34" s="33"/>
      <c r="B34" s="28" t="s">
        <v>98</v>
      </c>
      <c r="C34" s="28" t="s">
        <v>99</v>
      </c>
      <c r="D34" s="155"/>
      <c r="E34" s="29">
        <v>130</v>
      </c>
      <c r="F34" s="30">
        <v>6294.7</v>
      </c>
      <c r="G34" s="32">
        <v>505.245398773006</v>
      </c>
      <c r="H34" s="31">
        <v>541.13496932515295</v>
      </c>
      <c r="I34" s="30">
        <v>1.76863803680982</v>
      </c>
    </row>
    <row r="35" spans="1:9" ht="27" customHeight="1">
      <c r="A35" s="33"/>
      <c r="B35" s="28" t="s">
        <v>98</v>
      </c>
      <c r="C35" s="28" t="s">
        <v>99</v>
      </c>
      <c r="D35" s="155"/>
      <c r="E35" s="29">
        <v>17</v>
      </c>
      <c r="F35" s="30">
        <v>667.9</v>
      </c>
      <c r="G35" s="32">
        <v>66.070552147239297</v>
      </c>
      <c r="H35" s="31">
        <v>70.763803680981596</v>
      </c>
      <c r="I35" s="30">
        <v>0.23128343558282199</v>
      </c>
    </row>
    <row r="36" spans="1:9" s="1" customFormat="1" ht="27" customHeight="1">
      <c r="A36" s="33"/>
      <c r="B36" s="28" t="s">
        <v>98</v>
      </c>
      <c r="C36" s="28" t="s">
        <v>99</v>
      </c>
      <c r="D36" s="155"/>
      <c r="E36" s="29">
        <v>16</v>
      </c>
      <c r="F36" s="30">
        <v>709.3</v>
      </c>
      <c r="G36" s="32">
        <v>62.184049079754601</v>
      </c>
      <c r="H36" s="31">
        <v>66.601226993864998</v>
      </c>
      <c r="I36" s="30">
        <v>0.217678527607362</v>
      </c>
    </row>
    <row r="37" spans="1:9" ht="27" customHeight="1">
      <c r="A37" s="33"/>
      <c r="B37" s="28" t="s">
        <v>98</v>
      </c>
      <c r="C37" s="28" t="s">
        <v>99</v>
      </c>
      <c r="D37" s="155"/>
      <c r="E37" s="29">
        <v>113</v>
      </c>
      <c r="F37" s="30">
        <v>5491.9</v>
      </c>
      <c r="G37" s="32">
        <v>442.36434108527101</v>
      </c>
      <c r="H37" s="31">
        <v>481.78294573643399</v>
      </c>
      <c r="I37" s="30">
        <v>1.9425488372093</v>
      </c>
    </row>
    <row r="38" spans="1:9" ht="27" customHeight="1">
      <c r="A38" s="33"/>
      <c r="B38" s="28" t="s">
        <v>98</v>
      </c>
      <c r="C38" s="28" t="s">
        <v>99</v>
      </c>
      <c r="D38" s="155"/>
      <c r="E38" s="29">
        <v>16</v>
      </c>
      <c r="F38" s="30">
        <v>626.70000000000005</v>
      </c>
      <c r="G38" s="32">
        <v>62.635658914728701</v>
      </c>
      <c r="H38" s="31">
        <v>68.217054263565899</v>
      </c>
      <c r="I38" s="30">
        <v>0.27505116279069802</v>
      </c>
    </row>
    <row r="39" spans="1:9" ht="27" customHeight="1">
      <c r="A39" s="33"/>
      <c r="B39" s="28" t="s">
        <v>98</v>
      </c>
      <c r="C39" s="28" t="s">
        <v>99</v>
      </c>
      <c r="D39" s="155"/>
      <c r="E39" s="29">
        <v>195</v>
      </c>
      <c r="F39" s="30">
        <v>9613.9</v>
      </c>
      <c r="G39" s="32">
        <v>801.5</v>
      </c>
      <c r="H39" s="31">
        <v>846.5</v>
      </c>
      <c r="I39" s="30">
        <v>2.2968000000000002</v>
      </c>
    </row>
    <row r="40" spans="1:9" ht="27" customHeight="1">
      <c r="A40" s="33"/>
      <c r="B40" s="28" t="s">
        <v>98</v>
      </c>
      <c r="C40" s="28" t="s">
        <v>99</v>
      </c>
      <c r="D40" s="155"/>
      <c r="E40" s="29">
        <v>175</v>
      </c>
      <c r="F40" s="30">
        <v>8536.4</v>
      </c>
      <c r="G40" s="32">
        <v>673.16666666666697</v>
      </c>
      <c r="H40" s="31">
        <v>708.16666666666697</v>
      </c>
      <c r="I40" s="30">
        <v>1.8480000000000001</v>
      </c>
    </row>
    <row r="41" spans="1:9" ht="27" customHeight="1">
      <c r="A41" s="33"/>
      <c r="B41" s="28" t="s">
        <v>98</v>
      </c>
      <c r="C41" s="28" t="s">
        <v>99</v>
      </c>
      <c r="D41" s="155"/>
      <c r="E41" s="29">
        <v>50</v>
      </c>
      <c r="F41" s="30">
        <v>1970.4</v>
      </c>
      <c r="G41" s="32">
        <v>192.333333333333</v>
      </c>
      <c r="H41" s="31">
        <v>202.333333333333</v>
      </c>
      <c r="I41" s="30">
        <v>0.52800000000000002</v>
      </c>
    </row>
    <row r="42" spans="1:9" ht="27" customHeight="1">
      <c r="A42" s="33"/>
      <c r="B42" s="28" t="s">
        <v>98</v>
      </c>
      <c r="C42" s="28" t="s">
        <v>99</v>
      </c>
      <c r="D42" s="155"/>
      <c r="E42" s="29">
        <v>100</v>
      </c>
      <c r="F42" s="30">
        <v>4869.8</v>
      </c>
      <c r="G42" s="32">
        <v>404.5</v>
      </c>
      <c r="H42" s="31">
        <v>449.5</v>
      </c>
      <c r="I42" s="30">
        <v>1.6235999999999999</v>
      </c>
    </row>
    <row r="43" spans="1:9" ht="27" customHeight="1">
      <c r="A43" s="33"/>
      <c r="B43" s="28" t="s">
        <v>98</v>
      </c>
      <c r="C43" s="28" t="s">
        <v>99</v>
      </c>
      <c r="D43" s="155"/>
      <c r="E43" s="29">
        <v>171</v>
      </c>
      <c r="F43" s="30">
        <v>8366.7000000000007</v>
      </c>
      <c r="G43" s="32">
        <v>669.75</v>
      </c>
      <c r="H43" s="31">
        <v>706.392857142857</v>
      </c>
      <c r="I43" s="30">
        <v>1.96698857142857</v>
      </c>
    </row>
    <row r="44" spans="1:9" ht="27" customHeight="1">
      <c r="A44" s="33"/>
      <c r="B44" s="28" t="s">
        <v>98</v>
      </c>
      <c r="C44" s="28" t="s">
        <v>99</v>
      </c>
      <c r="D44" s="155"/>
      <c r="E44" s="29">
        <v>39</v>
      </c>
      <c r="F44" s="30">
        <v>1533</v>
      </c>
      <c r="G44" s="32">
        <v>152.75</v>
      </c>
      <c r="H44" s="31">
        <v>161.107142857143</v>
      </c>
      <c r="I44" s="30">
        <v>0.44861142857142899</v>
      </c>
    </row>
    <row r="45" spans="1:9" ht="27" customHeight="1">
      <c r="A45" s="33"/>
      <c r="B45" s="28" t="s">
        <v>92</v>
      </c>
      <c r="C45" s="28" t="s">
        <v>100</v>
      </c>
      <c r="D45" s="155"/>
      <c r="E45" s="29">
        <v>86</v>
      </c>
      <c r="F45" s="30">
        <v>4529.1000000000004</v>
      </c>
      <c r="G45" s="32">
        <v>472</v>
      </c>
      <c r="H45" s="31">
        <v>517</v>
      </c>
      <c r="I45" s="30">
        <v>1.9008</v>
      </c>
    </row>
    <row r="46" spans="1:9" ht="27" customHeight="1">
      <c r="A46" s="33"/>
      <c r="B46" s="28" t="s">
        <v>92</v>
      </c>
      <c r="C46" s="28" t="s">
        <v>100</v>
      </c>
      <c r="D46" s="155"/>
      <c r="E46" s="29">
        <v>190</v>
      </c>
      <c r="F46" s="30">
        <v>10151.200000000001</v>
      </c>
      <c r="G46" s="32">
        <v>1061</v>
      </c>
      <c r="H46" s="31">
        <v>1106</v>
      </c>
      <c r="I46" s="30">
        <v>2.7719999999999998</v>
      </c>
    </row>
    <row r="47" spans="1:9" ht="27" customHeight="1">
      <c r="A47" s="33"/>
      <c r="B47" s="28" t="s">
        <v>92</v>
      </c>
      <c r="C47" s="28" t="s">
        <v>100</v>
      </c>
      <c r="D47" s="155"/>
      <c r="E47" s="29">
        <v>119</v>
      </c>
      <c r="F47" s="30">
        <v>6401.7</v>
      </c>
      <c r="G47" s="32">
        <v>637.73943661971805</v>
      </c>
      <c r="H47" s="31">
        <v>675.45070422535196</v>
      </c>
      <c r="I47" s="30">
        <v>1.99115492957747</v>
      </c>
    </row>
    <row r="48" spans="1:9" ht="27" customHeight="1">
      <c r="A48" s="33"/>
      <c r="B48" s="28" t="s">
        <v>92</v>
      </c>
      <c r="C48" s="28" t="s">
        <v>100</v>
      </c>
      <c r="D48" s="155"/>
      <c r="E48" s="29">
        <v>23</v>
      </c>
      <c r="F48" s="30">
        <v>907.5</v>
      </c>
      <c r="G48" s="32">
        <v>123.26056338028199</v>
      </c>
      <c r="H48" s="31">
        <v>130.54929577464799</v>
      </c>
      <c r="I48" s="30">
        <v>0.38484507042253502</v>
      </c>
    </row>
    <row r="49" spans="1:9" ht="27" customHeight="1">
      <c r="A49" s="33"/>
      <c r="B49" s="28" t="s">
        <v>67</v>
      </c>
      <c r="C49" s="28" t="s">
        <v>101</v>
      </c>
      <c r="D49" s="155"/>
      <c r="E49" s="29">
        <v>93</v>
      </c>
      <c r="F49" s="30">
        <v>4652.5</v>
      </c>
      <c r="G49" s="32">
        <v>365.67961165048501</v>
      </c>
      <c r="H49" s="31">
        <v>406.31067961165002</v>
      </c>
      <c r="I49" s="30">
        <v>1.50172427184466</v>
      </c>
    </row>
    <row r="50" spans="1:9" ht="27" customHeight="1">
      <c r="A50" s="33"/>
      <c r="B50" s="28" t="s">
        <v>67</v>
      </c>
      <c r="C50" s="28" t="s">
        <v>101</v>
      </c>
      <c r="D50" s="155"/>
      <c r="E50" s="29">
        <v>10</v>
      </c>
      <c r="F50" s="30">
        <v>393.8</v>
      </c>
      <c r="G50" s="32">
        <v>39.320388349514602</v>
      </c>
      <c r="H50" s="31">
        <v>43.6893203883495</v>
      </c>
      <c r="I50" s="30">
        <v>0.16147572815534</v>
      </c>
    </row>
    <row r="51" spans="1:9" ht="27" customHeight="1">
      <c r="A51" s="33"/>
      <c r="B51" s="28" t="s">
        <v>67</v>
      </c>
      <c r="C51" s="28" t="s">
        <v>22</v>
      </c>
      <c r="D51" s="155"/>
      <c r="E51" s="29">
        <v>104</v>
      </c>
      <c r="F51" s="30">
        <v>3851.2</v>
      </c>
      <c r="G51" s="32">
        <v>264.5</v>
      </c>
      <c r="H51" s="31">
        <v>309.5</v>
      </c>
      <c r="I51" s="30">
        <v>1.5840000000000001</v>
      </c>
    </row>
    <row r="52" spans="1:9" ht="27" customHeight="1">
      <c r="A52" s="33"/>
      <c r="B52" s="28" t="s">
        <v>102</v>
      </c>
      <c r="C52" s="28" t="s">
        <v>103</v>
      </c>
      <c r="D52" s="155"/>
      <c r="E52" s="29">
        <v>80</v>
      </c>
      <c r="F52" s="30">
        <v>4140.1000000000004</v>
      </c>
      <c r="G52" s="32">
        <v>422.92134831460697</v>
      </c>
      <c r="H52" s="31">
        <v>463.37078651685403</v>
      </c>
      <c r="I52" s="30">
        <v>1.7085842696629201</v>
      </c>
    </row>
    <row r="53" spans="1:9" ht="27" customHeight="1">
      <c r="A53" s="33"/>
      <c r="B53" s="28" t="s">
        <v>102</v>
      </c>
      <c r="C53" s="28" t="s">
        <v>103</v>
      </c>
      <c r="D53" s="155"/>
      <c r="E53" s="29">
        <v>6</v>
      </c>
      <c r="F53" s="30">
        <v>236</v>
      </c>
      <c r="G53" s="32">
        <v>31.7191011235955</v>
      </c>
      <c r="H53" s="31">
        <v>34.752808988764002</v>
      </c>
      <c r="I53" s="30">
        <v>0.12814382022471901</v>
      </c>
    </row>
    <row r="54" spans="1:9" ht="27" customHeight="1">
      <c r="A54" s="33"/>
      <c r="B54" s="28" t="s">
        <v>102</v>
      </c>
      <c r="C54" s="28" t="s">
        <v>103</v>
      </c>
      <c r="D54" s="155"/>
      <c r="E54" s="29">
        <v>3</v>
      </c>
      <c r="F54" s="30">
        <v>152.9</v>
      </c>
      <c r="G54" s="32">
        <v>15.8595505617978</v>
      </c>
      <c r="H54" s="31">
        <v>17.376404494382001</v>
      </c>
      <c r="I54" s="30">
        <v>6.4071910112359506E-2</v>
      </c>
    </row>
    <row r="55" spans="1:9" ht="27" customHeight="1">
      <c r="A55" s="33"/>
      <c r="B55" s="28" t="s">
        <v>104</v>
      </c>
      <c r="C55" s="28" t="s">
        <v>105</v>
      </c>
      <c r="D55" s="155"/>
      <c r="E55" s="29">
        <v>80</v>
      </c>
      <c r="F55" s="30">
        <v>4212.3999999999996</v>
      </c>
      <c r="G55" s="32">
        <v>380.22471910112398</v>
      </c>
      <c r="H55" s="31">
        <v>420.67415730337098</v>
      </c>
      <c r="I55" s="30">
        <v>1.56620224719101</v>
      </c>
    </row>
    <row r="56" spans="1:9" ht="27" customHeight="1">
      <c r="A56" s="33"/>
      <c r="B56" s="28" t="s">
        <v>104</v>
      </c>
      <c r="C56" s="28" t="s">
        <v>105</v>
      </c>
      <c r="D56" s="155"/>
      <c r="E56" s="29">
        <v>9</v>
      </c>
      <c r="F56" s="30">
        <v>348</v>
      </c>
      <c r="G56" s="32">
        <v>42.775280898876403</v>
      </c>
      <c r="H56" s="31">
        <v>47.325842696629202</v>
      </c>
      <c r="I56" s="30">
        <v>0.176197752808989</v>
      </c>
    </row>
    <row r="57" spans="1:9" ht="27" customHeight="1">
      <c r="A57" s="33"/>
      <c r="B57" s="28" t="s">
        <v>106</v>
      </c>
      <c r="C57" s="28" t="s">
        <v>107</v>
      </c>
      <c r="D57" s="155"/>
      <c r="E57" s="29">
        <v>115</v>
      </c>
      <c r="F57" s="30">
        <v>6227.1</v>
      </c>
      <c r="G57" s="32">
        <v>624.76890756302498</v>
      </c>
      <c r="H57" s="31">
        <v>668.25630252100802</v>
      </c>
      <c r="I57" s="30">
        <v>2.1430588235294099</v>
      </c>
    </row>
    <row r="58" spans="1:9" ht="27" customHeight="1">
      <c r="A58" s="33"/>
      <c r="B58" s="28" t="s">
        <v>106</v>
      </c>
      <c r="C58" s="28" t="s">
        <v>107</v>
      </c>
      <c r="D58" s="155"/>
      <c r="E58" s="29">
        <v>4</v>
      </c>
      <c r="F58" s="30">
        <v>158.6</v>
      </c>
      <c r="G58" s="32">
        <v>21.731092436974802</v>
      </c>
      <c r="H58" s="31">
        <v>23.243697478991599</v>
      </c>
      <c r="I58" s="30">
        <v>7.4541176470588194E-2</v>
      </c>
    </row>
    <row r="59" spans="1:9" ht="27" customHeight="1">
      <c r="A59" s="33"/>
      <c r="B59" s="28" t="s">
        <v>92</v>
      </c>
      <c r="C59" s="28" t="s">
        <v>108</v>
      </c>
      <c r="D59" s="155"/>
      <c r="E59" s="29">
        <v>185</v>
      </c>
      <c r="F59" s="30">
        <v>9571.4</v>
      </c>
      <c r="G59" s="32">
        <v>839.48113207547203</v>
      </c>
      <c r="H59" s="31">
        <v>878.75</v>
      </c>
      <c r="I59" s="30">
        <v>2.4189622641509398</v>
      </c>
    </row>
    <row r="60" spans="1:9" ht="27" customHeight="1">
      <c r="A60" s="33"/>
      <c r="B60" s="28" t="s">
        <v>92</v>
      </c>
      <c r="C60" s="28" t="s">
        <v>108</v>
      </c>
      <c r="D60" s="155"/>
      <c r="E60" s="29">
        <v>27</v>
      </c>
      <c r="F60" s="30">
        <v>1037.7</v>
      </c>
      <c r="G60" s="32">
        <v>122.518867924528</v>
      </c>
      <c r="H60" s="31">
        <v>128.25</v>
      </c>
      <c r="I60" s="30">
        <v>0.35303773584905701</v>
      </c>
    </row>
    <row r="61" spans="1:9" ht="27" customHeight="1">
      <c r="A61" s="33"/>
      <c r="B61" s="28" t="s">
        <v>92</v>
      </c>
      <c r="C61" s="28" t="s">
        <v>108</v>
      </c>
      <c r="D61" s="155"/>
      <c r="E61" s="29">
        <v>37</v>
      </c>
      <c r="F61" s="30">
        <v>1902.1</v>
      </c>
      <c r="G61" s="32">
        <v>165.24576271186399</v>
      </c>
      <c r="H61" s="31">
        <v>193.46610169491501</v>
      </c>
      <c r="I61" s="30">
        <v>0.86918644067796602</v>
      </c>
    </row>
    <row r="62" spans="1:9" ht="27" customHeight="1">
      <c r="A62" s="33"/>
      <c r="B62" s="28" t="s">
        <v>92</v>
      </c>
      <c r="C62" s="28" t="s">
        <v>108</v>
      </c>
      <c r="D62" s="155"/>
      <c r="E62" s="29">
        <v>22</v>
      </c>
      <c r="F62" s="30">
        <v>850.4</v>
      </c>
      <c r="G62" s="32">
        <v>98.254237288135599</v>
      </c>
      <c r="H62" s="31">
        <v>115.033898305085</v>
      </c>
      <c r="I62" s="30">
        <v>0.51681355932203399</v>
      </c>
    </row>
    <row r="63" spans="1:9" ht="27" customHeight="1">
      <c r="A63" s="33"/>
      <c r="B63" s="28" t="s">
        <v>67</v>
      </c>
      <c r="C63" s="28" t="s">
        <v>97</v>
      </c>
      <c r="D63" s="155"/>
      <c r="E63" s="29">
        <v>80</v>
      </c>
      <c r="F63" s="30">
        <v>4000.7</v>
      </c>
      <c r="G63" s="32">
        <v>308.26086956521698</v>
      </c>
      <c r="H63" s="31">
        <v>347.39130434782601</v>
      </c>
      <c r="I63" s="30">
        <v>1.3773913043478301</v>
      </c>
    </row>
    <row r="64" spans="1:9" ht="27" customHeight="1">
      <c r="A64" s="33"/>
      <c r="B64" s="28" t="s">
        <v>67</v>
      </c>
      <c r="C64" s="28" t="s">
        <v>97</v>
      </c>
      <c r="D64" s="155"/>
      <c r="E64" s="29">
        <v>112</v>
      </c>
      <c r="F64" s="30">
        <v>471.3</v>
      </c>
      <c r="G64" s="32">
        <v>46.239130434782602</v>
      </c>
      <c r="H64" s="31">
        <v>52.1086956521739</v>
      </c>
      <c r="I64" s="30">
        <v>0.20660869565217399</v>
      </c>
    </row>
    <row r="65" spans="1:9" ht="27" customHeight="1">
      <c r="A65" s="38"/>
      <c r="B65" s="39" t="s">
        <v>23</v>
      </c>
      <c r="C65" s="40" t="s">
        <v>109</v>
      </c>
      <c r="D65" s="41"/>
      <c r="E65" s="42">
        <f>SUM(E23:E64)</f>
        <v>3458</v>
      </c>
      <c r="F65" s="43">
        <f>SUM(F23:F64)</f>
        <v>164623.5</v>
      </c>
      <c r="G65" s="43">
        <f>SUM(G23:G64)</f>
        <v>14506</v>
      </c>
      <c r="H65" s="43">
        <f>SUM(H23:H64)</f>
        <v>15541</v>
      </c>
      <c r="I65" s="43">
        <f>SUM(I23:I64)</f>
        <v>49.6584</v>
      </c>
    </row>
    <row r="66" spans="1:9" ht="27" customHeight="1">
      <c r="A66" s="44"/>
      <c r="B66" s="45"/>
      <c r="C66" s="46"/>
      <c r="D66" s="47"/>
      <c r="E66" s="48"/>
      <c r="F66" s="48"/>
      <c r="G66" s="49"/>
      <c r="H66" s="50"/>
      <c r="I66" s="66"/>
    </row>
    <row r="67" spans="1:9" ht="27" customHeight="1">
      <c r="A67" s="147" t="s">
        <v>58</v>
      </c>
      <c r="B67" s="147" t="s">
        <v>86</v>
      </c>
      <c r="C67" s="151" t="s">
        <v>17</v>
      </c>
      <c r="D67" s="156" t="s">
        <v>60</v>
      </c>
      <c r="E67" s="148" t="s">
        <v>18</v>
      </c>
      <c r="F67" s="129"/>
      <c r="G67" s="147" t="s">
        <v>87</v>
      </c>
      <c r="H67" s="147" t="s">
        <v>88</v>
      </c>
      <c r="I67" s="147" t="s">
        <v>89</v>
      </c>
    </row>
    <row r="68" spans="1:9" ht="27" customHeight="1">
      <c r="A68" s="150"/>
      <c r="B68" s="150"/>
      <c r="C68" s="152"/>
      <c r="D68" s="157"/>
      <c r="E68" s="51" t="s">
        <v>90</v>
      </c>
      <c r="F68" s="26" t="s">
        <v>91</v>
      </c>
      <c r="G68" s="150"/>
      <c r="H68" s="150"/>
      <c r="I68" s="150"/>
    </row>
    <row r="69" spans="1:9" ht="27" customHeight="1">
      <c r="A69" s="27" t="s">
        <v>63</v>
      </c>
      <c r="B69" s="28" t="s">
        <v>110</v>
      </c>
      <c r="C69" s="52" t="s">
        <v>93</v>
      </c>
      <c r="D69" s="158" t="s">
        <v>65</v>
      </c>
      <c r="E69" s="53">
        <v>32</v>
      </c>
      <c r="F69" s="30">
        <v>1647.9</v>
      </c>
      <c r="G69" s="54">
        <v>168.5</v>
      </c>
      <c r="H69" s="32">
        <v>213.5</v>
      </c>
      <c r="I69" s="30">
        <v>1.3068</v>
      </c>
    </row>
    <row r="70" spans="1:9" ht="27" customHeight="1">
      <c r="A70" s="33" t="s">
        <v>66</v>
      </c>
      <c r="B70" s="28">
        <v>9000869348</v>
      </c>
      <c r="C70" s="52" t="s">
        <v>111</v>
      </c>
      <c r="D70" s="159"/>
      <c r="E70" s="53">
        <v>212</v>
      </c>
      <c r="F70" s="30">
        <v>10462.6</v>
      </c>
      <c r="G70" s="54">
        <v>855</v>
      </c>
      <c r="H70" s="32">
        <v>900</v>
      </c>
      <c r="I70" s="30">
        <v>2.6928000000000001</v>
      </c>
    </row>
    <row r="71" spans="1:9" ht="27" customHeight="1">
      <c r="A71" s="33" t="s">
        <v>95</v>
      </c>
      <c r="B71" s="28">
        <v>9000869348</v>
      </c>
      <c r="C71" s="52" t="s">
        <v>111</v>
      </c>
      <c r="D71" s="159"/>
      <c r="E71" s="53">
        <v>165</v>
      </c>
      <c r="F71" s="30">
        <v>8044.5</v>
      </c>
      <c r="G71" s="54">
        <v>615.063829787234</v>
      </c>
      <c r="H71" s="32">
        <v>646.659574468085</v>
      </c>
      <c r="I71" s="30">
        <v>1.9462978723404301</v>
      </c>
    </row>
    <row r="72" spans="1:9" ht="27" customHeight="1">
      <c r="A72" s="33" t="s">
        <v>68</v>
      </c>
      <c r="B72" s="28">
        <v>9000869348</v>
      </c>
      <c r="C72" s="52" t="s">
        <v>111</v>
      </c>
      <c r="D72" s="159"/>
      <c r="E72" s="53">
        <v>70</v>
      </c>
      <c r="F72" s="30">
        <v>2704.4</v>
      </c>
      <c r="G72" s="54">
        <v>260.936170212766</v>
      </c>
      <c r="H72" s="32">
        <v>274.340425531915</v>
      </c>
      <c r="I72" s="30">
        <v>0.82570212765957496</v>
      </c>
    </row>
    <row r="73" spans="1:9" ht="27" customHeight="1">
      <c r="A73" s="44"/>
      <c r="B73" s="28">
        <v>9000869348</v>
      </c>
      <c r="C73" s="52" t="s">
        <v>111</v>
      </c>
      <c r="D73" s="159"/>
      <c r="E73" s="53">
        <v>164</v>
      </c>
      <c r="F73" s="30">
        <v>8050.9</v>
      </c>
      <c r="G73" s="54">
        <v>775.51063829787199</v>
      </c>
      <c r="H73" s="32">
        <v>814.76595744680901</v>
      </c>
      <c r="I73" s="30">
        <v>1.8308680851063801</v>
      </c>
    </row>
    <row r="74" spans="1:9" ht="27" customHeight="1">
      <c r="A74" s="44"/>
      <c r="B74" s="28">
        <v>9000869348</v>
      </c>
      <c r="C74" s="52" t="s">
        <v>111</v>
      </c>
      <c r="D74" s="159"/>
      <c r="E74" s="53">
        <v>241</v>
      </c>
      <c r="F74" s="30">
        <v>927.4</v>
      </c>
      <c r="G74" s="54">
        <v>113.48936170212799</v>
      </c>
      <c r="H74" s="32">
        <v>119.234042553191</v>
      </c>
      <c r="I74" s="30">
        <v>0.26793191489361701</v>
      </c>
    </row>
    <row r="75" spans="1:9" ht="27" customHeight="1">
      <c r="A75" s="44"/>
      <c r="B75" s="28">
        <v>9000869348</v>
      </c>
      <c r="C75" s="52" t="s">
        <v>111</v>
      </c>
      <c r="D75" s="159"/>
      <c r="E75" s="53">
        <v>129</v>
      </c>
      <c r="F75" s="30">
        <v>6267.6</v>
      </c>
      <c r="G75" s="54">
        <v>490.59090909090901</v>
      </c>
      <c r="H75" s="32">
        <v>525.77272727272702</v>
      </c>
      <c r="I75" s="30">
        <v>1.6408799999999999</v>
      </c>
    </row>
    <row r="76" spans="1:9" ht="27" customHeight="1">
      <c r="A76" s="44"/>
      <c r="B76" s="28">
        <v>9000869348</v>
      </c>
      <c r="C76" s="52" t="s">
        <v>111</v>
      </c>
      <c r="D76" s="159"/>
      <c r="E76" s="53">
        <v>12</v>
      </c>
      <c r="F76" s="30">
        <v>462.7</v>
      </c>
      <c r="G76" s="54">
        <v>45.636363636363598</v>
      </c>
      <c r="H76" s="32">
        <v>48.909090909090899</v>
      </c>
      <c r="I76" s="30">
        <v>0.15264</v>
      </c>
    </row>
    <row r="77" spans="1:9" ht="27" customHeight="1">
      <c r="A77" s="44"/>
      <c r="B77" s="28">
        <v>9000869348</v>
      </c>
      <c r="C77" s="52" t="s">
        <v>111</v>
      </c>
      <c r="D77" s="159"/>
      <c r="E77" s="53">
        <v>24</v>
      </c>
      <c r="F77" s="30">
        <v>957.5</v>
      </c>
      <c r="G77" s="54">
        <v>91.272727272727295</v>
      </c>
      <c r="H77" s="32">
        <v>97.818181818181799</v>
      </c>
      <c r="I77" s="30">
        <v>0.30528</v>
      </c>
    </row>
    <row r="78" spans="1:9" ht="27" customHeight="1">
      <c r="A78" s="44"/>
      <c r="B78" s="28">
        <v>9000869348</v>
      </c>
      <c r="C78" s="52" t="s">
        <v>112</v>
      </c>
      <c r="D78" s="159"/>
      <c r="E78" s="53">
        <f>200-100</f>
        <v>100</v>
      </c>
      <c r="F78" s="30">
        <f>10248.3-5116.7</f>
        <v>5131.6000000000004</v>
      </c>
      <c r="G78" s="54">
        <v>400</v>
      </c>
      <c r="H78" s="32">
        <v>445</v>
      </c>
      <c r="I78" s="30">
        <v>2.1383999999999999</v>
      </c>
    </row>
    <row r="79" spans="1:9" ht="27" customHeight="1">
      <c r="A79" s="55"/>
      <c r="B79" s="39" t="s">
        <v>23</v>
      </c>
      <c r="C79" s="39" t="s">
        <v>113</v>
      </c>
      <c r="D79" s="41"/>
      <c r="E79" s="56">
        <f>SUM(E69:E78)</f>
        <v>1149</v>
      </c>
      <c r="F79" s="43">
        <f>SUM(F69:F78)</f>
        <v>44657.1</v>
      </c>
      <c r="G79" s="43">
        <f>SUM(G69:G78)</f>
        <v>3816</v>
      </c>
      <c r="H79" s="43">
        <f>SUM(H69:H78)</f>
        <v>4086</v>
      </c>
      <c r="I79" s="43">
        <f>SUM(I69:I78)</f>
        <v>13.1076</v>
      </c>
    </row>
    <row r="80" spans="1:9" ht="48.75" customHeight="1">
      <c r="A80" s="24"/>
      <c r="B80" s="25"/>
      <c r="C80" s="57" t="s">
        <v>69</v>
      </c>
      <c r="D80" s="57"/>
      <c r="E80" s="57">
        <f>E65+E79</f>
        <v>4607</v>
      </c>
      <c r="F80" s="58">
        <f>F65+F79</f>
        <v>209280.6</v>
      </c>
      <c r="G80" s="58">
        <f>G65+G79</f>
        <v>18322</v>
      </c>
      <c r="H80" s="58">
        <f>H65+H79</f>
        <v>19627</v>
      </c>
      <c r="I80" s="57">
        <f>I65+I79</f>
        <v>62.765999999999998</v>
      </c>
    </row>
    <row r="81" spans="1:8">
      <c r="A81" s="59" t="s">
        <v>70</v>
      </c>
      <c r="B81" s="59"/>
      <c r="C81" s="59"/>
      <c r="D81" s="60"/>
      <c r="E81" s="61"/>
      <c r="F81" s="5"/>
      <c r="G81" s="5"/>
      <c r="H81" s="5"/>
    </row>
    <row r="82" spans="1:8" ht="65.25" customHeight="1">
      <c r="A82" s="62" t="s">
        <v>71</v>
      </c>
      <c r="B82" s="149" t="s">
        <v>72</v>
      </c>
      <c r="C82" s="132"/>
      <c r="D82" s="132"/>
      <c r="E82" s="63"/>
      <c r="F82" s="63"/>
      <c r="G82" s="63"/>
      <c r="H82" s="5"/>
    </row>
    <row r="83" spans="1:8" ht="51.75" customHeight="1">
      <c r="A83" s="149" t="s">
        <v>114</v>
      </c>
      <c r="B83" s="146"/>
      <c r="C83" s="132"/>
      <c r="D83" s="132"/>
      <c r="E83" s="63"/>
      <c r="F83" s="63"/>
      <c r="G83" s="63"/>
      <c r="H83" s="63"/>
    </row>
    <row r="84" spans="1:8" ht="15.6" customHeight="1">
      <c r="A84" s="64" t="s">
        <v>74</v>
      </c>
      <c r="B84" s="64"/>
      <c r="C84" s="64"/>
      <c r="D84" s="64"/>
      <c r="E84" s="65"/>
      <c r="F84" s="65"/>
      <c r="G84" s="65"/>
      <c r="H84" s="65"/>
    </row>
    <row r="85" spans="1:8" ht="15.6" customHeight="1">
      <c r="A85" s="64" t="s">
        <v>75</v>
      </c>
      <c r="B85" s="64"/>
      <c r="C85" s="64"/>
      <c r="D85" s="64"/>
      <c r="E85" s="65"/>
      <c r="F85" s="65"/>
      <c r="G85" s="65"/>
      <c r="H85" s="65"/>
    </row>
    <row r="86" spans="1:8" ht="15.6" customHeight="1">
      <c r="G86" s="5" t="s">
        <v>39</v>
      </c>
    </row>
    <row r="87" spans="1:8" ht="15.6" customHeight="1"/>
    <row r="88" spans="1:8" ht="115.7" customHeight="1"/>
    <row r="89" spans="1:8" ht="113.65" customHeight="1"/>
    <row r="90" spans="1:8" ht="15.6" customHeight="1"/>
    <row r="91" spans="1:8" ht="16.899999999999999" customHeight="1"/>
  </sheetData>
  <mergeCells count="26">
    <mergeCell ref="G67:G68"/>
    <mergeCell ref="H21:H22"/>
    <mergeCell ref="H67:H68"/>
    <mergeCell ref="I21:I22"/>
    <mergeCell ref="I67:I68"/>
    <mergeCell ref="A6:I6"/>
    <mergeCell ref="E21:F21"/>
    <mergeCell ref="E67:F67"/>
    <mergeCell ref="B82:D82"/>
    <mergeCell ref="A83:D83"/>
    <mergeCell ref="A21:A22"/>
    <mergeCell ref="A67:A68"/>
    <mergeCell ref="B21:B22"/>
    <mergeCell ref="B67:B68"/>
    <mergeCell ref="C21:C22"/>
    <mergeCell ref="C67:C68"/>
    <mergeCell ref="D21:D22"/>
    <mergeCell ref="D23:D64"/>
    <mergeCell ref="D67:D68"/>
    <mergeCell ref="D69:D78"/>
    <mergeCell ref="G21:G22"/>
    <mergeCell ref="A1:I1"/>
    <mergeCell ref="A2:I2"/>
    <mergeCell ref="A3:I3"/>
    <mergeCell ref="A4:I4"/>
    <mergeCell ref="A5:I5"/>
  </mergeCells>
  <conditionalFormatting sqref="F23">
    <cfRule type="duplicateValues" dxfId="103" priority="93"/>
    <cfRule type="duplicateValues" dxfId="102" priority="104"/>
  </conditionalFormatting>
  <conditionalFormatting sqref="F24">
    <cfRule type="duplicateValues" dxfId="101" priority="92"/>
    <cfRule type="duplicateValues" dxfId="100" priority="103"/>
  </conditionalFormatting>
  <conditionalFormatting sqref="F25">
    <cfRule type="duplicateValues" dxfId="99" priority="102"/>
    <cfRule type="duplicateValues" dxfId="98" priority="91"/>
  </conditionalFormatting>
  <conditionalFormatting sqref="F26">
    <cfRule type="duplicateValues" dxfId="97" priority="101"/>
    <cfRule type="duplicateValues" dxfId="96" priority="90"/>
  </conditionalFormatting>
  <conditionalFormatting sqref="F27">
    <cfRule type="duplicateValues" dxfId="95" priority="100"/>
    <cfRule type="duplicateValues" dxfId="94" priority="89"/>
  </conditionalFormatting>
  <conditionalFormatting sqref="F28">
    <cfRule type="duplicateValues" dxfId="93" priority="99"/>
    <cfRule type="duplicateValues" dxfId="92" priority="88"/>
  </conditionalFormatting>
  <conditionalFormatting sqref="F29">
    <cfRule type="duplicateValues" dxfId="91" priority="98"/>
    <cfRule type="duplicateValues" dxfId="90" priority="87"/>
  </conditionalFormatting>
  <conditionalFormatting sqref="F30">
    <cfRule type="duplicateValues" dxfId="89" priority="97"/>
    <cfRule type="duplicateValues" dxfId="88" priority="86"/>
  </conditionalFormatting>
  <conditionalFormatting sqref="F31">
    <cfRule type="duplicateValues" dxfId="87" priority="96"/>
    <cfRule type="duplicateValues" dxfId="86" priority="85"/>
  </conditionalFormatting>
  <conditionalFormatting sqref="F32">
    <cfRule type="duplicateValues" dxfId="85" priority="95"/>
    <cfRule type="duplicateValues" dxfId="84" priority="84"/>
  </conditionalFormatting>
  <conditionalFormatting sqref="F33">
    <cfRule type="duplicateValues" dxfId="83" priority="94"/>
    <cfRule type="duplicateValues" dxfId="82" priority="83"/>
  </conditionalFormatting>
  <conditionalFormatting sqref="F34">
    <cfRule type="duplicateValues" dxfId="81" priority="82"/>
    <cfRule type="duplicateValues" dxfId="80" priority="55"/>
  </conditionalFormatting>
  <conditionalFormatting sqref="F35">
    <cfRule type="duplicateValues" dxfId="79" priority="81"/>
    <cfRule type="duplicateValues" dxfId="78" priority="54"/>
  </conditionalFormatting>
  <conditionalFormatting sqref="F36">
    <cfRule type="duplicateValues" dxfId="77" priority="80"/>
    <cfRule type="duplicateValues" dxfId="76" priority="53"/>
  </conditionalFormatting>
  <conditionalFormatting sqref="F37">
    <cfRule type="duplicateValues" dxfId="75" priority="79"/>
    <cfRule type="duplicateValues" dxfId="74" priority="52"/>
  </conditionalFormatting>
  <conditionalFormatting sqref="F38">
    <cfRule type="duplicateValues" dxfId="73" priority="78"/>
    <cfRule type="duplicateValues" dxfId="72" priority="51"/>
  </conditionalFormatting>
  <conditionalFormatting sqref="F39">
    <cfRule type="duplicateValues" dxfId="71" priority="77"/>
    <cfRule type="duplicateValues" dxfId="70" priority="50"/>
  </conditionalFormatting>
  <conditionalFormatting sqref="F40">
    <cfRule type="duplicateValues" dxfId="69" priority="76"/>
    <cfRule type="duplicateValues" dxfId="68" priority="49"/>
  </conditionalFormatting>
  <conditionalFormatting sqref="F41">
    <cfRule type="duplicateValues" dxfId="67" priority="75"/>
    <cfRule type="duplicateValues" dxfId="66" priority="48"/>
  </conditionalFormatting>
  <conditionalFormatting sqref="F42">
    <cfRule type="duplicateValues" dxfId="65" priority="74"/>
    <cfRule type="duplicateValues" dxfId="64" priority="47"/>
  </conditionalFormatting>
  <conditionalFormatting sqref="F43">
    <cfRule type="duplicateValues" dxfId="63" priority="73"/>
    <cfRule type="duplicateValues" dxfId="62" priority="46"/>
  </conditionalFormatting>
  <conditionalFormatting sqref="F44">
    <cfRule type="duplicateValues" dxfId="61" priority="72"/>
    <cfRule type="duplicateValues" dxfId="60" priority="45"/>
  </conditionalFormatting>
  <conditionalFormatting sqref="F45">
    <cfRule type="duplicateValues" dxfId="59" priority="71"/>
    <cfRule type="duplicateValues" dxfId="58" priority="44"/>
  </conditionalFormatting>
  <conditionalFormatting sqref="F46">
    <cfRule type="duplicateValues" dxfId="57" priority="70"/>
    <cfRule type="duplicateValues" dxfId="56" priority="43"/>
  </conditionalFormatting>
  <conditionalFormatting sqref="F47">
    <cfRule type="duplicateValues" dxfId="55" priority="69"/>
    <cfRule type="duplicateValues" dxfId="54" priority="42"/>
  </conditionalFormatting>
  <conditionalFormatting sqref="F48">
    <cfRule type="duplicateValues" dxfId="53" priority="68"/>
    <cfRule type="duplicateValues" dxfId="52" priority="41"/>
  </conditionalFormatting>
  <conditionalFormatting sqref="F49">
    <cfRule type="duplicateValues" dxfId="51" priority="40"/>
    <cfRule type="duplicateValues" dxfId="50" priority="67"/>
  </conditionalFormatting>
  <conditionalFormatting sqref="F50">
    <cfRule type="duplicateValues" dxfId="49" priority="39"/>
    <cfRule type="duplicateValues" dxfId="48" priority="66"/>
  </conditionalFormatting>
  <conditionalFormatting sqref="F51">
    <cfRule type="duplicateValues" dxfId="47" priority="38"/>
    <cfRule type="duplicateValues" dxfId="46" priority="65"/>
  </conditionalFormatting>
  <conditionalFormatting sqref="F52">
    <cfRule type="duplicateValues" dxfId="45" priority="64"/>
    <cfRule type="duplicateValues" dxfId="44" priority="37"/>
  </conditionalFormatting>
  <conditionalFormatting sqref="F53">
    <cfRule type="duplicateValues" dxfId="43" priority="63"/>
    <cfRule type="duplicateValues" dxfId="42" priority="36"/>
  </conditionalFormatting>
  <conditionalFormatting sqref="F54">
    <cfRule type="duplicateValues" dxfId="41" priority="62"/>
    <cfRule type="duplicateValues" dxfId="40" priority="35"/>
  </conditionalFormatting>
  <conditionalFormatting sqref="F55">
    <cfRule type="duplicateValues" dxfId="39" priority="61"/>
    <cfRule type="duplicateValues" dxfId="38" priority="34"/>
  </conditionalFormatting>
  <conditionalFormatting sqref="F56">
    <cfRule type="duplicateValues" dxfId="37" priority="60"/>
    <cfRule type="duplicateValues" dxfId="36" priority="33"/>
  </conditionalFormatting>
  <conditionalFormatting sqref="F57">
    <cfRule type="duplicateValues" dxfId="35" priority="59"/>
    <cfRule type="duplicateValues" dxfId="34" priority="32"/>
  </conditionalFormatting>
  <conditionalFormatting sqref="F58">
    <cfRule type="duplicateValues" dxfId="33" priority="58"/>
    <cfRule type="duplicateValues" dxfId="32" priority="31"/>
  </conditionalFormatting>
  <conditionalFormatting sqref="F59">
    <cfRule type="duplicateValues" dxfId="31" priority="57"/>
    <cfRule type="duplicateValues" dxfId="30" priority="30"/>
  </conditionalFormatting>
  <conditionalFormatting sqref="F60">
    <cfRule type="duplicateValues" dxfId="29" priority="56"/>
    <cfRule type="duplicateValues" dxfId="28" priority="29"/>
  </conditionalFormatting>
  <conditionalFormatting sqref="F61">
    <cfRule type="duplicateValues" dxfId="27" priority="28"/>
    <cfRule type="duplicateValues" dxfId="26" priority="24"/>
  </conditionalFormatting>
  <conditionalFormatting sqref="F62">
    <cfRule type="duplicateValues" dxfId="25" priority="23"/>
    <cfRule type="duplicateValues" dxfId="24" priority="27"/>
  </conditionalFormatting>
  <conditionalFormatting sqref="F63">
    <cfRule type="duplicateValues" dxfId="23" priority="26"/>
    <cfRule type="duplicateValues" dxfId="22" priority="22"/>
  </conditionalFormatting>
  <conditionalFormatting sqref="F64">
    <cfRule type="duplicateValues" dxfId="21" priority="21"/>
    <cfRule type="duplicateValues" dxfId="20" priority="25"/>
  </conditionalFormatting>
  <conditionalFormatting sqref="F69">
    <cfRule type="duplicateValues" dxfId="19" priority="20"/>
    <cfRule type="duplicateValues" dxfId="18" priority="10"/>
  </conditionalFormatting>
  <conditionalFormatting sqref="F70">
    <cfRule type="duplicateValues" dxfId="17" priority="19"/>
    <cfRule type="duplicateValues" dxfId="16" priority="9"/>
  </conditionalFormatting>
  <conditionalFormatting sqref="F71">
    <cfRule type="duplicateValues" dxfId="15" priority="18"/>
    <cfRule type="duplicateValues" dxfId="14" priority="8"/>
  </conditionalFormatting>
  <conditionalFormatting sqref="F72">
    <cfRule type="duplicateValues" dxfId="13" priority="17"/>
    <cfRule type="duplicateValues" dxfId="12" priority="7"/>
  </conditionalFormatting>
  <conditionalFormatting sqref="F73">
    <cfRule type="duplicateValues" dxfId="11" priority="16"/>
    <cfRule type="duplicateValues" dxfId="10" priority="6"/>
  </conditionalFormatting>
  <conditionalFormatting sqref="F74">
    <cfRule type="duplicateValues" dxfId="9" priority="15"/>
    <cfRule type="duplicateValues" dxfId="8" priority="5"/>
  </conditionalFormatting>
  <conditionalFormatting sqref="F75">
    <cfRule type="duplicateValues" dxfId="7" priority="14"/>
    <cfRule type="duplicateValues" dxfId="6" priority="4"/>
  </conditionalFormatting>
  <conditionalFormatting sqref="F76">
    <cfRule type="duplicateValues" dxfId="5" priority="3"/>
    <cfRule type="duplicateValues" dxfId="4" priority="13"/>
  </conditionalFormatting>
  <conditionalFormatting sqref="F77">
    <cfRule type="duplicateValues" dxfId="3" priority="12"/>
    <cfRule type="duplicateValues" dxfId="2" priority="2"/>
  </conditionalFormatting>
  <conditionalFormatting sqref="F78">
    <cfRule type="duplicateValues" dxfId="1" priority="1"/>
    <cfRule type="duplicateValues" dxfId="0" priority="11"/>
  </conditionalFormatting>
  <printOptions horizontalCentered="1"/>
  <pageMargins left="0.1" right="0.1" top="0.75" bottom="0.75" header="0" footer="0"/>
  <pageSetup paperSize="9" scale="29" orientation="portrait" r:id="rId1"/>
  <rowBreaks count="1" manualBreakCount="1">
    <brk id="88" max="16383" man="1"/>
  </rowBreaks>
  <ignoredErrors>
    <ignoredError sqref="B69 D24:D37 B23:B65 D64:D6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Contract</vt:lpstr>
      <vt:lpstr>Invoice</vt:lpstr>
      <vt:lpstr>Packing list</vt:lpstr>
      <vt:lpstr>Contract!Print_Area</vt:lpstr>
      <vt:lpstr>Invoice!Print_Area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w</dc:creator>
  <cp:lastModifiedBy>jayheng spoet</cp:lastModifiedBy>
  <cp:lastPrinted>2023-08-22T01:13:00Z</cp:lastPrinted>
  <dcterms:created xsi:type="dcterms:W3CDTF">2015-06-05T18:17:00Z</dcterms:created>
  <dcterms:modified xsi:type="dcterms:W3CDTF">2026-01-29T05:43:16Z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37A96F793D864C2B90B5D6C11E352FE1_13</vt:lpwstr>
  </property>
  <property fmtid="{D5CDD505-2E9C-101B-9397-08002B2CF9AE}" pid="3" name="KSOProductBuildVer">
    <vt:lpwstr>1033-12.2.0.23196</vt:lpwstr>
  </property>
</Properties>
</file>