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Z031127\Downloads\Compressed\Invoices-CLW26007\"/>
    </mc:Choice>
  </mc:AlternateContent>
  <xr:revisionPtr revIDLastSave="0" documentId="13_ncr:1_{218B4771-06D7-4E2C-8A12-2D72BB91A4AC}" xr6:coauthVersionLast="47" xr6:coauthVersionMax="47" xr10:uidLastSave="{00000000-0000-0000-0000-000000000000}"/>
  <bookViews>
    <workbookView xWindow="-60" yWindow="-60" windowWidth="28920" windowHeight="15870" xr2:uid="{00000000-000D-0000-FFFF-FFFF00000000}"/>
  </bookViews>
  <sheets>
    <sheet name="Invoice" sheetId="1" r:id="rId1"/>
    <sheet name="Packing list" sheetId="2" r:id="rId2"/>
  </sheets>
  <externalReferences>
    <externalReference r:id="rId3"/>
  </externalReferences>
  <definedNames>
    <definedName name="_xlnm.Print_Area" localSheetId="0">Invoice!$A$1:$H$33</definedName>
    <definedName name="_xlnm.Print_Area" localSheetId="1">'Packing list'!$A$1:$J$55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J42" i="2"/>
  <c r="I42" i="2"/>
  <c r="H42" i="2"/>
  <c r="G42" i="2"/>
  <c r="F42" i="2"/>
  <c r="J12" i="2"/>
  <c r="J11" i="2"/>
  <c r="I10" i="2"/>
  <c r="H22" i="1"/>
  <c r="F22" i="1"/>
  <c r="G20" i="1"/>
  <c r="H9" i="1"/>
  <c r="H11" i="1" s="1"/>
  <c r="H12" i="1" s="1"/>
  <c r="H8" i="1"/>
  <c r="H7" i="1"/>
</calcChain>
</file>

<file path=xl/sharedStrings.xml><?xml version="1.0" encoding="utf-8"?>
<sst xmlns="http://schemas.openxmlformats.org/spreadsheetml/2006/main" count="168" uniqueCount="98">
  <si>
    <t>CALIFOR UPHOLSTERY MATERIALS CO., LTD.</t>
  </si>
  <si>
    <t>XIN BAVET SEZ, Road No. 316A, Trapeang Bon and  Prey Kokir  Villages, Prey Kokir  Commune, Chantrea District,</t>
  </si>
  <si>
    <t>Svay Rieng Province, Kingdom of Cambodia.</t>
  </si>
  <si>
    <t>VAT:L001-901903209</t>
  </si>
  <si>
    <t>Tel: +855   975910636</t>
  </si>
  <si>
    <t>INVOICE</t>
  </si>
  <si>
    <t>Ref No.:</t>
  </si>
  <si>
    <t>EXPORTER:</t>
  </si>
  <si>
    <t>INVOICE NO :</t>
  </si>
  <si>
    <t>XIN BAVET SEZ, Road No. 316A, Trapeang Bon and Prey Kokir Villages,</t>
  </si>
  <si>
    <t>Date:</t>
  </si>
  <si>
    <t>Prey Kokir Commune, Chantrea District,Svay Rieng Province, Kingdom of Cambodia .</t>
  </si>
  <si>
    <t>DAF:</t>
  </si>
  <si>
    <t>BAVET</t>
  </si>
  <si>
    <t>ETD：</t>
  </si>
  <si>
    <t>ETA:</t>
  </si>
  <si>
    <t>CONSIGNEE :</t>
  </si>
  <si>
    <t>Wanek Furniture Co., LTD.</t>
  </si>
  <si>
    <t>Lot D_5A_CN, D_5C_CN, D_5E_CN, My Phuoc 3 Industrial Park, Thoi Hoa Ward, Ho Chi Minh City, Vietnam.</t>
  </si>
  <si>
    <t>P+84 650 3655 200 EXT:7074 MS EMILY(C&amp;L)/MS DOROTHY(CR) EXT:7036 MS JANE (PURCHASING)</t>
  </si>
  <si>
    <t xml:space="preserve">SHIP: </t>
  </si>
  <si>
    <t>BY TRUCK FROM BAVET, SVAY RIENG, CAMBODIA TO HO CHI MINH, VIETNAM.</t>
  </si>
  <si>
    <t>Mark &amp; Nº</t>
  </si>
  <si>
    <t>P.O. Nº</t>
  </si>
  <si>
    <t>Description</t>
  </si>
  <si>
    <t>ITEM Nº</t>
  </si>
  <si>
    <t>Quantity
(SF)</t>
  </si>
  <si>
    <t>Unit price
(USD)</t>
  </si>
  <si>
    <t>Amount(USD)</t>
  </si>
  <si>
    <t>VENDOR#:</t>
  </si>
  <si>
    <t>PT2D339/PT2DB52
PT2DL00/PT2DL03
PTDB52</t>
  </si>
  <si>
    <t>L LEESWORTH BUFFALO DARK BROWN
L LEESWORTH BUFFALO OCEAN U43809</t>
  </si>
  <si>
    <t>140478/140491</t>
  </si>
  <si>
    <t>PT24201/PT24788
PT24G83/PT24N81</t>
  </si>
  <si>
    <t>L BEADEL SMOKE (01) U64506</t>
  </si>
  <si>
    <t>MADE IN CAMBODIA</t>
  </si>
  <si>
    <t>TOTAL OF:</t>
  </si>
  <si>
    <t>19 PALLETS</t>
  </si>
  <si>
    <t>Country of Original Cambodia</t>
  </si>
  <si>
    <t>Manufacture:</t>
  </si>
  <si>
    <t>CALIFOR UPHOLSTERY MATERIALS CO., LTD.
XIN BAVET SEZ, Road No. 316A, Trapeang Bon and Prey Kokir Villages, Prey Kokir Commune, Chantrea District,Svay Rieng Province, Kingdom of Cambodia, Tel: +855   975910636</t>
  </si>
  <si>
    <t>BENEFICIARY BANK：BANK OF CHINA(HONG KONG)LIMITED PHNOM PENH BRANCH
                                                  /BANK OF CHINA PHNOM PENH BRANCH</t>
  </si>
  <si>
    <t>A/C NO:100001100764430</t>
  </si>
  <si>
    <t>SWIFT CODE  ：BKCHKHPPXXX</t>
  </si>
  <si>
    <t>Sign &amp; Stamp</t>
  </si>
  <si>
    <t>ZENG XUELI</t>
  </si>
  <si>
    <t xml:space="preserve"> XIN BAVET SEZ, Road No. 316A, Trapeang Bon and  Prey Kokir  Villages, Prey Kokir  Commune, Chantrea District, </t>
  </si>
  <si>
    <t>PACKING LIST</t>
  </si>
  <si>
    <t>CLF2026-044</t>
  </si>
  <si>
    <t>CLW26007</t>
  </si>
  <si>
    <t>Prey Kokir Commune, Chantrea District,Svay Rieng Province, Kingdom of Cambodia</t>
  </si>
  <si>
    <t>Wanek Furniture Co., LTD</t>
  </si>
  <si>
    <t>Pallet
NO.</t>
  </si>
  <si>
    <t>P.O Nº</t>
  </si>
  <si>
    <t>Quantity</t>
  </si>
  <si>
    <t>N.W (kgs)</t>
  </si>
  <si>
    <t>G.W (kgs)</t>
  </si>
  <si>
    <t>CBM</t>
  </si>
  <si>
    <t>PCS</t>
  </si>
  <si>
    <t>SF</t>
  </si>
  <si>
    <t>1-19</t>
  </si>
  <si>
    <t>PT24201</t>
  </si>
  <si>
    <t>2-19</t>
  </si>
  <si>
    <t>Case Qty:</t>
  </si>
  <si>
    <t>3-19</t>
  </si>
  <si>
    <t>PT24788</t>
  </si>
  <si>
    <t>4-19</t>
  </si>
  <si>
    <t>5-19</t>
  </si>
  <si>
    <t>PT24G83</t>
  </si>
  <si>
    <t>6-19</t>
  </si>
  <si>
    <t>7-19</t>
  </si>
  <si>
    <t>PT24N81</t>
  </si>
  <si>
    <t>8-19</t>
  </si>
  <si>
    <t>PT2D339</t>
  </si>
  <si>
    <t>L LEESWORTH BUFFALO OCEAN U43809</t>
  </si>
  <si>
    <t>9-19</t>
  </si>
  <si>
    <t>10-19</t>
  </si>
  <si>
    <t>PT2DB52</t>
  </si>
  <si>
    <t>L LEESWORTH BUFFALO DARK BROWN</t>
  </si>
  <si>
    <t>11-19</t>
  </si>
  <si>
    <t>PTDB52</t>
  </si>
  <si>
    <t>12-19</t>
  </si>
  <si>
    <t>13-19</t>
  </si>
  <si>
    <t>PT2DL00</t>
  </si>
  <si>
    <t>14-19</t>
  </si>
  <si>
    <t>15-19</t>
  </si>
  <si>
    <t>PT2DL03</t>
  </si>
  <si>
    <t>16-19</t>
  </si>
  <si>
    <t>17-19</t>
  </si>
  <si>
    <t>18-19</t>
  </si>
  <si>
    <t>19-19</t>
  </si>
  <si>
    <t>现量8000</t>
  </si>
  <si>
    <t>BUFFALO LEATHER</t>
  </si>
  <si>
    <t>12 PALLETS</t>
  </si>
  <si>
    <t>COW LEATHER</t>
  </si>
  <si>
    <t>7 PALLETS</t>
  </si>
  <si>
    <t>BENEFICIARY BANK：BANK OF CHINA(HONG KONG)LIMITED PHNOM PENH BRANCH
                                          /BANK OF CHINA PHNOM PENH BRANCH</t>
  </si>
  <si>
    <t>(HS.CODE: 4107.12.00)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</si>
</sst>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00.00"/>
    <numFmt numFmtId="170" formatCode="#,##0.0000000"/>
  </numFmts>
  <fonts count="3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20"/>
      <name val="Times New Roman"/>
      <family val="1"/>
    </font>
    <font>
      <b/>
      <sz val="24"/>
      <name val="Times New Roman"/>
      <family val="1"/>
    </font>
    <font>
      <b/>
      <u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12"/>
      <name val="Book Antiqua"/>
      <family val="1"/>
    </font>
    <font>
      <sz val="12"/>
      <name val="Times New Roman"/>
      <family val="1"/>
    </font>
    <font>
      <sz val="10"/>
      <name val="Book Antiqua"/>
      <family val="1"/>
    </font>
    <font>
      <sz val="11"/>
      <name val="Book Antiqua"/>
      <family val="1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u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6" fillId="0" borderId="0" xfId="0" applyFont="1"/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17" fillId="0" borderId="0" xfId="0" applyFont="1"/>
    <xf numFmtId="0" fontId="21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4" fillId="0" borderId="0" xfId="0" applyFont="1" applyAlignment="1">
      <alignment vertical="top"/>
    </xf>
    <xf numFmtId="0" fontId="29" fillId="0" borderId="0" xfId="0" applyFont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1" fillId="0" borderId="3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49" fontId="32" fillId="0" borderId="3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4" fontId="32" fillId="0" borderId="3" xfId="0" applyNumberFormat="1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65" fontId="31" fillId="0" borderId="3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top" wrapText="1"/>
    </xf>
    <xf numFmtId="3" fontId="32" fillId="0" borderId="3" xfId="0" applyNumberFormat="1" applyFont="1" applyBorder="1" applyAlignment="1">
      <alignment horizontal="center" vertical="center" wrapText="1"/>
    </xf>
    <xf numFmtId="0" fontId="32" fillId="0" borderId="5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/>
    </xf>
    <xf numFmtId="3" fontId="31" fillId="0" borderId="3" xfId="0" applyNumberFormat="1" applyFont="1" applyBorder="1" applyAlignment="1">
      <alignment horizontal="center" vertical="center"/>
    </xf>
    <xf numFmtId="4" fontId="31" fillId="0" borderId="3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top"/>
    </xf>
    <xf numFmtId="49" fontId="31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4" fontId="32" fillId="0" borderId="9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center" vertical="center"/>
    </xf>
    <xf numFmtId="0" fontId="0" fillId="0" borderId="2" xfId="0" applyBorder="1"/>
    <xf numFmtId="0" fontId="16" fillId="0" borderId="0" xfId="0" applyFont="1" applyAlignment="1">
      <alignment vertical="top"/>
    </xf>
    <xf numFmtId="0" fontId="31" fillId="0" borderId="9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top" wrapText="1"/>
    </xf>
    <xf numFmtId="0" fontId="24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1" fillId="0" borderId="3" xfId="0" applyFont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0" fontId="0" fillId="0" borderId="7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0" fillId="0" borderId="10" xfId="0" applyBorder="1"/>
    <xf numFmtId="0" fontId="1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70" fontId="32" fillId="0" borderId="3" xfId="0" applyNumberFormat="1" applyFont="1" applyBorder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271145</xdr:colOff>
      <xdr:row>37</xdr:row>
      <xdr:rowOff>183515</xdr:rowOff>
    </xdr:from>
    <xdr:to>
      <xdr:col>7</xdr:col>
      <xdr:colOff>449579</xdr:colOff>
      <xdr:row>42</xdr:row>
      <xdr:rowOff>120016</xdr:rowOff>
    </xdr:to>
    <xdr:pic>
      <xdr:nvPicPr>
        <xdr:cNvPr id="2" name="图片 1" descr="微信图片_20230906130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1620" y="14625955"/>
          <a:ext cx="2578735" cy="13271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797560</xdr:colOff>
      <xdr:row>38</xdr:row>
      <xdr:rowOff>73660</xdr:rowOff>
    </xdr:from>
    <xdr:to>
      <xdr:col>6</xdr:col>
      <xdr:colOff>34102</xdr:colOff>
      <xdr:row>41</xdr:row>
      <xdr:rowOff>164652</xdr:rowOff>
    </xdr:to>
    <xdr:pic>
      <xdr:nvPicPr>
        <xdr:cNvPr id="3" name="图片 2" descr="微信图片_2023090613065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9760" y="14782800"/>
          <a:ext cx="1845945" cy="9480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636905</xdr:colOff>
      <xdr:row>61</xdr:row>
      <xdr:rowOff>5715</xdr:rowOff>
    </xdr:from>
    <xdr:to>
      <xdr:col>9</xdr:col>
      <xdr:colOff>488054</xdr:colOff>
      <xdr:row>64</xdr:row>
      <xdr:rowOff>67943</xdr:rowOff>
    </xdr:to>
    <xdr:pic>
      <xdr:nvPicPr>
        <xdr:cNvPr id="2" name="图片 1" descr="微信图片_2023090613065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8880" y="22788880"/>
          <a:ext cx="1660525" cy="6330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6350</xdr:colOff>
      <xdr:row>60</xdr:row>
      <xdr:rowOff>133985</xdr:rowOff>
    </xdr:from>
    <xdr:to>
      <xdr:col>9</xdr:col>
      <xdr:colOff>755352</xdr:colOff>
      <xdr:row>67</xdr:row>
      <xdr:rowOff>118745</xdr:rowOff>
    </xdr:to>
    <xdr:pic>
      <xdr:nvPicPr>
        <xdr:cNvPr id="3" name="图片 2" descr="微信图片_2023090613065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28325" y="22726650"/>
          <a:ext cx="2558415" cy="13182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 list"/>
    </sheetNames>
    <sheetDataSet>
      <sheetData sheetId="0">
        <row r="10">
          <cell r="G10" t="str">
            <v>DAF: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0"/>
  <sheetViews>
    <sheetView tabSelected="1" view="pageBreakPreview" topLeftCell="A16" zoomScale="87" zoomScaleNormal="83" workbookViewId="0">
      <selection activeCell="G20" sqref="G20"/>
    </sheetView>
  </sheetViews>
  <sheetFormatPr defaultColWidth="7.140625" defaultRowHeight="15"/>
  <cols>
    <col min="1" max="3" width="23.28515625" customWidth="1"/>
    <col min="4" max="4" width="50.85546875" customWidth="1"/>
    <col min="5" max="5" width="21.5703125" customWidth="1"/>
    <col min="6" max="6" width="17.5703125" customWidth="1"/>
    <col min="7" max="7" width="18.42578125" customWidth="1"/>
    <col min="8" max="8" width="21.7109375" style="25" customWidth="1"/>
    <col min="9" max="9" width="25.140625" customWidth="1"/>
    <col min="10" max="10" width="15.5703125" customWidth="1"/>
    <col min="11" max="11" width="10.28515625" customWidth="1"/>
    <col min="13" max="13" width="12.42578125" customWidth="1"/>
  </cols>
  <sheetData>
    <row r="1" spans="1:9" ht="38.25" customHeight="1">
      <c r="A1" s="68" t="s">
        <v>0</v>
      </c>
      <c r="B1" s="69"/>
      <c r="C1" s="69"/>
      <c r="D1" s="69"/>
      <c r="E1" s="69"/>
      <c r="F1" s="69"/>
      <c r="G1" s="69"/>
      <c r="H1" s="70"/>
      <c r="I1" s="69"/>
    </row>
    <row r="2" spans="1:9" ht="24" customHeight="1">
      <c r="A2" s="81" t="s">
        <v>1</v>
      </c>
      <c r="B2" s="69"/>
      <c r="C2" s="69"/>
      <c r="D2" s="69"/>
      <c r="E2" s="69"/>
      <c r="F2" s="69"/>
      <c r="G2" s="69"/>
      <c r="H2" s="70"/>
      <c r="I2" s="69"/>
    </row>
    <row r="3" spans="1:9" ht="17.25" customHeight="1">
      <c r="A3" s="78" t="s">
        <v>2</v>
      </c>
      <c r="B3" s="69"/>
      <c r="C3" s="69"/>
      <c r="D3" s="69"/>
      <c r="E3" s="69"/>
      <c r="F3" s="69"/>
      <c r="G3" s="69"/>
      <c r="H3" s="70"/>
      <c r="I3" s="69"/>
    </row>
    <row r="4" spans="1:9" ht="17.25" customHeight="1">
      <c r="A4" s="78" t="s">
        <v>3</v>
      </c>
      <c r="B4" s="69"/>
      <c r="C4" s="69"/>
      <c r="D4" s="69"/>
      <c r="E4" s="69"/>
      <c r="F4" s="69"/>
      <c r="G4" s="69"/>
      <c r="H4" s="70"/>
      <c r="I4" s="69"/>
    </row>
    <row r="5" spans="1:9" ht="25.5" customHeight="1" thickBot="1">
      <c r="A5" s="79" t="s">
        <v>4</v>
      </c>
      <c r="B5" s="80"/>
      <c r="C5" s="80"/>
      <c r="D5" s="80"/>
      <c r="E5" s="80"/>
      <c r="F5" s="80"/>
      <c r="G5" s="80"/>
      <c r="H5" s="80"/>
      <c r="I5" s="80"/>
    </row>
    <row r="6" spans="1:9" ht="83.25" customHeight="1">
      <c r="A6" s="73" t="s">
        <v>5</v>
      </c>
      <c r="B6" s="74"/>
      <c r="C6" s="74"/>
      <c r="D6" s="74"/>
      <c r="E6" s="74"/>
      <c r="F6" s="74"/>
      <c r="G6" s="74"/>
      <c r="H6" s="74"/>
      <c r="I6" s="74"/>
    </row>
    <row r="7" spans="1:9" ht="14.25" customHeight="1">
      <c r="A7" s="19"/>
      <c r="B7" s="19"/>
      <c r="C7" s="19"/>
      <c r="D7" s="19"/>
      <c r="E7" s="19"/>
      <c r="F7" s="19"/>
      <c r="G7" s="19" t="s">
        <v>6</v>
      </c>
      <c r="H7" s="19" t="str">
        <f>'Packing list'!J7</f>
        <v>CLF2026-044</v>
      </c>
    </row>
    <row r="8" spans="1:9" ht="30" customHeight="1">
      <c r="A8" s="27" t="s">
        <v>7</v>
      </c>
      <c r="B8" s="28" t="s">
        <v>0</v>
      </c>
      <c r="C8" s="28"/>
      <c r="D8" s="28"/>
      <c r="E8" s="28"/>
      <c r="G8" s="21" t="s">
        <v>8</v>
      </c>
      <c r="H8" s="21" t="str">
        <f>'Packing list'!J8</f>
        <v>CLW26007</v>
      </c>
    </row>
    <row r="9" spans="1:9" ht="21" customHeight="1">
      <c r="A9" s="19"/>
      <c r="B9" s="29" t="s">
        <v>9</v>
      </c>
      <c r="C9" s="29"/>
      <c r="D9" s="29"/>
      <c r="E9" s="29"/>
      <c r="G9" s="21" t="s">
        <v>10</v>
      </c>
      <c r="H9" s="22">
        <f>'Packing list'!J9</f>
        <v>46052</v>
      </c>
    </row>
    <row r="10" spans="1:9" ht="22.5" customHeight="1">
      <c r="A10" s="19"/>
      <c r="B10" s="29" t="s">
        <v>11</v>
      </c>
      <c r="C10" s="29"/>
      <c r="D10" s="29"/>
      <c r="E10" s="29"/>
      <c r="G10" s="30" t="s">
        <v>12</v>
      </c>
      <c r="H10" s="21" t="s">
        <v>13</v>
      </c>
    </row>
    <row r="11" spans="1:9" ht="20.25" customHeight="1">
      <c r="A11" s="19"/>
      <c r="B11" s="29" t="s">
        <v>4</v>
      </c>
      <c r="C11" s="29"/>
      <c r="D11" s="29"/>
      <c r="E11" s="29"/>
      <c r="G11" s="31" t="s">
        <v>14</v>
      </c>
      <c r="H11" s="22">
        <f>H9</f>
        <v>46052</v>
      </c>
    </row>
    <row r="12" spans="1:9" ht="18.95" customHeight="1">
      <c r="A12" s="19"/>
      <c r="B12" s="19"/>
      <c r="C12" s="19"/>
      <c r="D12" s="19"/>
      <c r="E12" s="19"/>
      <c r="F12" s="19"/>
      <c r="G12" s="31" t="s">
        <v>15</v>
      </c>
      <c r="H12" s="22">
        <f>H11+1</f>
        <v>46053</v>
      </c>
    </row>
    <row r="13" spans="1:9" ht="25.5" customHeight="1">
      <c r="A13" s="32" t="s">
        <v>16</v>
      </c>
      <c r="B13" s="33" t="s">
        <v>17</v>
      </c>
      <c r="C13" s="33"/>
      <c r="D13" s="33"/>
      <c r="E13" s="34"/>
      <c r="G13" s="35"/>
      <c r="H13" s="35"/>
      <c r="I13" s="36"/>
    </row>
    <row r="14" spans="1:9" ht="25.5" customHeight="1">
      <c r="A14" s="19"/>
      <c r="B14" s="37" t="s">
        <v>18</v>
      </c>
      <c r="C14" s="37"/>
      <c r="D14" s="37"/>
      <c r="E14" s="37"/>
      <c r="F14" s="38"/>
      <c r="G14" s="38"/>
      <c r="H14" s="38"/>
      <c r="I14" s="25"/>
    </row>
    <row r="15" spans="1:9" ht="25.5" customHeight="1">
      <c r="A15" s="19"/>
      <c r="B15" s="39" t="s">
        <v>19</v>
      </c>
      <c r="C15" s="39"/>
      <c r="D15" s="39"/>
      <c r="E15" s="39"/>
      <c r="F15" s="40"/>
      <c r="G15" s="40"/>
      <c r="H15" s="40"/>
      <c r="I15" s="25"/>
    </row>
    <row r="16" spans="1:9" ht="27.75" customHeight="1">
      <c r="A16" s="41" t="s">
        <v>20</v>
      </c>
      <c r="B16" s="19" t="s">
        <v>21</v>
      </c>
      <c r="C16" s="19"/>
      <c r="D16" s="19"/>
      <c r="E16" s="19"/>
      <c r="I16" s="25"/>
    </row>
    <row r="17" spans="1:8" ht="27.75" customHeight="1">
      <c r="A17" s="42"/>
      <c r="B17" s="42"/>
      <c r="C17" s="42"/>
      <c r="D17" s="42"/>
    </row>
    <row r="18" spans="1:8" ht="35.1" customHeight="1">
      <c r="A18" s="49" t="s">
        <v>22</v>
      </c>
      <c r="B18" s="49" t="s">
        <v>23</v>
      </c>
      <c r="C18" s="76" t="s">
        <v>24</v>
      </c>
      <c r="D18" s="77"/>
      <c r="E18" s="49" t="s">
        <v>25</v>
      </c>
      <c r="F18" s="49" t="s">
        <v>26</v>
      </c>
      <c r="G18" s="49" t="s">
        <v>27</v>
      </c>
      <c r="H18" s="49" t="s">
        <v>28</v>
      </c>
    </row>
    <row r="19" spans="1:8" ht="58.5" customHeight="1">
      <c r="A19" s="50" t="s">
        <v>29</v>
      </c>
      <c r="B19" s="51" t="s">
        <v>30</v>
      </c>
      <c r="C19" s="67" t="s">
        <v>92</v>
      </c>
      <c r="D19" s="52" t="s">
        <v>31</v>
      </c>
      <c r="E19" s="51" t="s">
        <v>32</v>
      </c>
      <c r="F19" s="53">
        <v>117422.6</v>
      </c>
      <c r="G19" s="107">
        <f>H19/F19</f>
        <v>0.86351619999999996</v>
      </c>
      <c r="H19" s="53">
        <v>101396.32</v>
      </c>
    </row>
    <row r="20" spans="1:8" ht="48" customHeight="1">
      <c r="A20" s="54"/>
      <c r="B20" s="51" t="s">
        <v>33</v>
      </c>
      <c r="C20" s="67" t="s">
        <v>94</v>
      </c>
      <c r="D20" s="52" t="s">
        <v>34</v>
      </c>
      <c r="E20" s="51">
        <v>140513</v>
      </c>
      <c r="F20" s="53">
        <v>61397.2</v>
      </c>
      <c r="G20" s="107">
        <f>H20/F20</f>
        <v>1.36</v>
      </c>
      <c r="H20" s="53">
        <v>83500.19</v>
      </c>
    </row>
    <row r="21" spans="1:8" ht="30" customHeight="1">
      <c r="A21" s="54" t="s">
        <v>35</v>
      </c>
      <c r="B21" s="51"/>
      <c r="C21" s="51"/>
      <c r="D21" s="52"/>
      <c r="E21" s="51"/>
      <c r="F21" s="53"/>
      <c r="G21" s="53"/>
      <c r="H21" s="53"/>
    </row>
    <row r="22" spans="1:8" ht="35.1" customHeight="1">
      <c r="A22" s="55"/>
      <c r="B22" s="71" t="s">
        <v>36</v>
      </c>
      <c r="C22" s="55"/>
      <c r="D22" s="55" t="s">
        <v>37</v>
      </c>
      <c r="E22" s="55"/>
      <c r="F22" s="56">
        <f>SUM(F19:F21)</f>
        <v>178819.8</v>
      </c>
      <c r="G22" s="55"/>
      <c r="H22" s="56">
        <f>SUM(H19:H21)</f>
        <v>184896.51</v>
      </c>
    </row>
    <row r="23" spans="1:8" ht="24.75" customHeight="1"/>
    <row r="24" spans="1:8" ht="42" customHeight="1">
      <c r="A24" s="83" t="s">
        <v>38</v>
      </c>
      <c r="B24" s="69"/>
      <c r="C24" s="69"/>
      <c r="D24" s="69"/>
      <c r="E24" s="69"/>
      <c r="F24" s="19"/>
      <c r="G24" s="19"/>
      <c r="H24" s="26"/>
    </row>
    <row r="25" spans="1:8" ht="61.5" customHeight="1">
      <c r="A25" s="43" t="s">
        <v>39</v>
      </c>
      <c r="B25" s="72" t="s">
        <v>40</v>
      </c>
      <c r="C25" s="72"/>
      <c r="D25" s="69"/>
      <c r="E25" s="69"/>
      <c r="F25" s="44"/>
      <c r="G25" s="19"/>
      <c r="H25" s="26"/>
    </row>
    <row r="26" spans="1:8" ht="42" customHeight="1">
      <c r="A26" s="82" t="s">
        <v>41</v>
      </c>
      <c r="B26" s="69"/>
      <c r="C26" s="69"/>
      <c r="D26" s="69"/>
      <c r="E26" s="69"/>
      <c r="F26" s="45"/>
      <c r="G26" s="45"/>
      <c r="H26" s="26"/>
    </row>
    <row r="27" spans="1:8" ht="24.75" customHeight="1">
      <c r="A27" s="75" t="s">
        <v>42</v>
      </c>
      <c r="B27" s="69"/>
      <c r="C27" s="69"/>
      <c r="D27" s="69"/>
      <c r="E27" s="69"/>
      <c r="F27" s="69"/>
      <c r="G27" s="69"/>
      <c r="H27" s="70"/>
    </row>
    <row r="28" spans="1:8" ht="27" customHeight="1">
      <c r="A28" s="75" t="s">
        <v>43</v>
      </c>
      <c r="B28" s="69"/>
      <c r="C28" s="69"/>
      <c r="D28" s="69"/>
      <c r="E28" s="69"/>
      <c r="F28" s="69"/>
      <c r="G28" s="69"/>
      <c r="H28" s="70"/>
    </row>
    <row r="29" spans="1:8" ht="42" customHeight="1">
      <c r="F29" s="29"/>
      <c r="G29" s="46" t="s">
        <v>0</v>
      </c>
      <c r="H29" s="26"/>
    </row>
    <row r="30" spans="1:8" ht="24.75" customHeight="1">
      <c r="F30" s="19"/>
      <c r="G30" s="47" t="s">
        <v>44</v>
      </c>
    </row>
    <row r="31" spans="1:8" ht="27" customHeight="1">
      <c r="F31" s="19"/>
      <c r="G31" s="19"/>
    </row>
    <row r="32" spans="1:8" ht="21" customHeight="1">
      <c r="F32" s="19"/>
      <c r="G32" s="48"/>
      <c r="H32" s="48"/>
    </row>
    <row r="33" spans="7:7" ht="39" customHeight="1">
      <c r="G33" s="48" t="s">
        <v>45</v>
      </c>
    </row>
    <row r="34" spans="7:7" ht="39" customHeight="1"/>
    <row r="35" spans="7:7" ht="39" customHeight="1"/>
    <row r="36" spans="7:7" ht="21" customHeight="1"/>
    <row r="37" spans="7:7" ht="21" customHeight="1"/>
    <row r="38" spans="7:7" ht="21" customHeight="1"/>
    <row r="39" spans="7:7" ht="25.5" customHeight="1"/>
    <row r="40" spans="7:7" ht="21" customHeight="1"/>
    <row r="41" spans="7:7" ht="21" customHeight="1"/>
    <row r="42" spans="7:7" ht="21" customHeight="1"/>
    <row r="43" spans="7:7" ht="21" customHeight="1"/>
    <row r="44" spans="7:7" ht="21" customHeight="1"/>
    <row r="45" spans="7:7" ht="17.25" customHeight="1"/>
    <row r="57" ht="15" customHeight="1"/>
    <row r="200" spans="1:4" ht="61.5" customHeight="1">
      <c r="A200" s="69"/>
      <c r="B200" s="69"/>
      <c r="C200" s="69"/>
      <c r="D200" s="69"/>
    </row>
  </sheetData>
  <mergeCells count="14">
    <mergeCell ref="A1:I1"/>
    <mergeCell ref="A200:D200"/>
    <mergeCell ref="B22"/>
    <mergeCell ref="B25:E25"/>
    <mergeCell ref="A6:I6"/>
    <mergeCell ref="A28:H28"/>
    <mergeCell ref="C18:D18"/>
    <mergeCell ref="A4:I4"/>
    <mergeCell ref="A3:I3"/>
    <mergeCell ref="A5:I5"/>
    <mergeCell ref="A27:H27"/>
    <mergeCell ref="A2:I2"/>
    <mergeCell ref="A26:E26"/>
    <mergeCell ref="A24:E24"/>
  </mergeCells>
  <conditionalFormatting sqref="K19:K29">
    <cfRule type="duplicateValues" priority="1" stopIfTrue="1"/>
    <cfRule type="uniqueValues" priority="2" stopIfTrue="1"/>
  </conditionalFormatting>
  <printOptions horizontalCentered="1"/>
  <pageMargins left="0.1" right="0.1" top="0.75" bottom="0.75" header="0" footer="0"/>
  <pageSetup paperSize="9" scale="43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00"/>
  <sheetViews>
    <sheetView view="pageBreakPreview" topLeftCell="A34" zoomScale="85" zoomScaleNormal="83" workbookViewId="0">
      <selection activeCell="G36" sqref="G36"/>
    </sheetView>
  </sheetViews>
  <sheetFormatPr defaultColWidth="7.140625" defaultRowHeight="15"/>
  <cols>
    <col min="1" max="1" width="23.85546875" style="1" customWidth="1"/>
    <col min="2" max="2" width="16.140625" style="2" customWidth="1"/>
    <col min="3" max="3" width="28.140625" style="1" customWidth="1"/>
    <col min="4" max="4" width="15.5703125" style="1" customWidth="1"/>
    <col min="5" max="5" width="49.28515625" style="1" customWidth="1"/>
    <col min="6" max="6" width="14.7109375" style="1" customWidth="1"/>
    <col min="7" max="7" width="13.140625" style="1" customWidth="1"/>
    <col min="8" max="8" width="12.7109375" style="1" customWidth="1"/>
    <col min="9" max="9" width="14.42578125" style="1" customWidth="1"/>
    <col min="10" max="10" width="16.85546875" style="3" customWidth="1"/>
    <col min="11" max="11" width="25.140625" style="1" customWidth="1"/>
    <col min="12" max="12" width="15.5703125" style="1" customWidth="1"/>
    <col min="13" max="13" width="10.28515625" style="1" customWidth="1"/>
    <col min="14" max="14" width="7.140625" style="1" customWidth="1"/>
    <col min="15" max="15" width="12.42578125" style="1" customWidth="1"/>
    <col min="16" max="18" width="7.140625" style="1" customWidth="1"/>
    <col min="19" max="16384" width="7.140625" style="1"/>
  </cols>
  <sheetData>
    <row r="1" spans="1:10" ht="38.25" customHeight="1">
      <c r="A1" s="95" t="s">
        <v>0</v>
      </c>
      <c r="B1" s="85"/>
      <c r="C1" s="84"/>
      <c r="D1" s="84"/>
      <c r="E1" s="84"/>
      <c r="F1" s="84"/>
      <c r="G1" s="84"/>
      <c r="H1" s="84"/>
      <c r="I1" s="84"/>
      <c r="J1" s="91"/>
    </row>
    <row r="2" spans="1:10" ht="24" customHeight="1">
      <c r="A2" s="102" t="s">
        <v>46</v>
      </c>
      <c r="B2" s="85"/>
      <c r="C2" s="84"/>
      <c r="D2" s="84"/>
      <c r="E2" s="84"/>
      <c r="F2" s="84"/>
      <c r="G2" s="84"/>
      <c r="H2" s="84"/>
      <c r="I2" s="84"/>
      <c r="J2" s="91"/>
    </row>
    <row r="3" spans="1:10" ht="25.5" customHeight="1">
      <c r="A3" s="90" t="s">
        <v>2</v>
      </c>
      <c r="B3" s="85"/>
      <c r="C3" s="84"/>
      <c r="D3" s="84"/>
      <c r="E3" s="84"/>
      <c r="F3" s="84"/>
      <c r="G3" s="84"/>
      <c r="H3" s="84"/>
      <c r="I3" s="84"/>
      <c r="J3" s="91"/>
    </row>
    <row r="4" spans="1:10" ht="25.5" customHeight="1">
      <c r="A4" s="102" t="s">
        <v>3</v>
      </c>
      <c r="B4" s="85"/>
      <c r="C4" s="84"/>
      <c r="D4" s="84"/>
      <c r="E4" s="84"/>
      <c r="F4" s="84"/>
      <c r="G4" s="84"/>
      <c r="H4" s="84"/>
      <c r="I4" s="84"/>
      <c r="J4" s="91"/>
    </row>
    <row r="5" spans="1:10" ht="25.5" customHeight="1">
      <c r="A5" s="105" t="s">
        <v>4</v>
      </c>
      <c r="B5" s="80"/>
      <c r="C5" s="80"/>
      <c r="D5" s="80"/>
      <c r="E5" s="80"/>
      <c r="F5" s="80"/>
      <c r="G5" s="80"/>
      <c r="H5" s="80"/>
      <c r="I5" s="80"/>
      <c r="J5" s="80"/>
    </row>
    <row r="6" spans="1:10" ht="54" customHeight="1">
      <c r="A6" s="97" t="s">
        <v>47</v>
      </c>
      <c r="B6" s="74"/>
      <c r="C6" s="74"/>
      <c r="D6" s="74"/>
      <c r="E6" s="74"/>
      <c r="F6" s="74"/>
      <c r="G6" s="74"/>
      <c r="H6" s="74"/>
      <c r="I6" s="74"/>
      <c r="J6" s="74"/>
    </row>
    <row r="7" spans="1:10" ht="14.25" customHeight="1">
      <c r="A7" s="4"/>
      <c r="C7" s="4"/>
      <c r="D7" s="4"/>
      <c r="E7" s="4"/>
      <c r="F7" s="4"/>
      <c r="G7" s="4"/>
      <c r="H7" s="4"/>
      <c r="I7" s="11" t="s">
        <v>6</v>
      </c>
      <c r="J7" s="19" t="s">
        <v>48</v>
      </c>
    </row>
    <row r="8" spans="1:10" ht="30" customHeight="1">
      <c r="A8" s="6" t="s">
        <v>7</v>
      </c>
      <c r="B8" s="86" t="s">
        <v>0</v>
      </c>
      <c r="C8" s="84"/>
      <c r="D8" s="84"/>
      <c r="E8" s="84"/>
      <c r="G8" s="7"/>
      <c r="H8" s="7"/>
      <c r="I8" s="20" t="s">
        <v>8</v>
      </c>
      <c r="J8" s="21" t="s">
        <v>49</v>
      </c>
    </row>
    <row r="9" spans="1:10" ht="21" customHeight="1">
      <c r="A9" s="4"/>
      <c r="B9" s="94" t="s">
        <v>9</v>
      </c>
      <c r="C9" s="84"/>
      <c r="D9" s="84"/>
      <c r="E9" s="84"/>
      <c r="G9" s="4"/>
      <c r="H9" s="4"/>
      <c r="I9" s="20" t="s">
        <v>10</v>
      </c>
      <c r="J9" s="22">
        <v>46052</v>
      </c>
    </row>
    <row r="10" spans="1:10" ht="22.5" customHeight="1">
      <c r="A10" s="4"/>
      <c r="B10" s="94" t="s">
        <v>50</v>
      </c>
      <c r="C10" s="84"/>
      <c r="D10" s="84"/>
      <c r="E10" s="84"/>
      <c r="G10" s="4"/>
      <c r="H10" s="4"/>
      <c r="I10" s="20" t="str">
        <f>[1]Invoice!G10</f>
        <v>DAF:</v>
      </c>
      <c r="J10" s="21" t="s">
        <v>13</v>
      </c>
    </row>
    <row r="11" spans="1:10" ht="20.25" customHeight="1">
      <c r="A11" s="4"/>
      <c r="B11" s="94" t="s">
        <v>4</v>
      </c>
      <c r="C11" s="84"/>
      <c r="D11" s="84"/>
      <c r="E11" s="84"/>
      <c r="G11" s="4"/>
      <c r="H11" s="4"/>
      <c r="I11" s="20" t="s">
        <v>14</v>
      </c>
      <c r="J11" s="22">
        <f>J9</f>
        <v>46052</v>
      </c>
    </row>
    <row r="12" spans="1:10" ht="20.100000000000001" customHeight="1">
      <c r="A12" s="4"/>
      <c r="C12" s="4"/>
      <c r="D12" s="4"/>
      <c r="E12" s="4"/>
      <c r="F12" s="4"/>
      <c r="G12" s="4"/>
      <c r="H12" s="4"/>
      <c r="I12" s="20" t="s">
        <v>15</v>
      </c>
      <c r="J12" s="22">
        <f>J11+1</f>
        <v>46053</v>
      </c>
    </row>
    <row r="13" spans="1:10" ht="25.5" customHeight="1">
      <c r="A13" s="8" t="s">
        <v>16</v>
      </c>
      <c r="B13" s="87" t="s">
        <v>51</v>
      </c>
      <c r="C13" s="84"/>
      <c r="D13" s="84"/>
      <c r="E13" s="84"/>
      <c r="G13" s="9"/>
      <c r="H13" s="9"/>
      <c r="I13" s="9"/>
      <c r="J13" s="23"/>
    </row>
    <row r="14" spans="1:10" ht="25.5" customHeight="1">
      <c r="A14" s="4"/>
      <c r="B14" s="101" t="s">
        <v>18</v>
      </c>
      <c r="C14" s="84"/>
      <c r="D14" s="84"/>
      <c r="E14" s="84"/>
      <c r="F14" s="10"/>
      <c r="G14" s="10"/>
      <c r="H14" s="10"/>
      <c r="I14" s="10"/>
    </row>
    <row r="15" spans="1:10" ht="17.25" customHeight="1">
      <c r="A15" s="4"/>
      <c r="B15" s="103" t="s">
        <v>19</v>
      </c>
      <c r="C15" s="84"/>
      <c r="D15" s="84"/>
      <c r="E15" s="84"/>
      <c r="F15" s="12"/>
      <c r="G15" s="12"/>
      <c r="H15" s="12"/>
      <c r="I15" s="12"/>
    </row>
    <row r="16" spans="1:10" ht="27.75" customHeight="1">
      <c r="A16" s="13" t="s">
        <v>20</v>
      </c>
      <c r="B16" s="94" t="s">
        <v>21</v>
      </c>
      <c r="C16" s="84"/>
      <c r="D16" s="84"/>
      <c r="E16" s="84"/>
      <c r="I16" s="3"/>
    </row>
    <row r="17" spans="1:10" ht="24" customHeight="1">
      <c r="A17" s="14"/>
      <c r="C17" s="14"/>
      <c r="D17" s="14"/>
    </row>
    <row r="18" spans="1:10" ht="31.15" customHeight="1">
      <c r="A18" s="88" t="s">
        <v>22</v>
      </c>
      <c r="B18" s="88" t="s">
        <v>52</v>
      </c>
      <c r="C18" s="88" t="s">
        <v>53</v>
      </c>
      <c r="D18" s="88" t="s">
        <v>25</v>
      </c>
      <c r="E18" s="88" t="s">
        <v>24</v>
      </c>
      <c r="F18" s="88" t="s">
        <v>54</v>
      </c>
      <c r="G18" s="93"/>
      <c r="H18" s="88" t="s">
        <v>55</v>
      </c>
      <c r="I18" s="88" t="s">
        <v>56</v>
      </c>
      <c r="J18" s="76" t="s">
        <v>57</v>
      </c>
    </row>
    <row r="19" spans="1:10" ht="31.15" customHeight="1">
      <c r="A19" s="89"/>
      <c r="B19" s="89"/>
      <c r="C19" s="89"/>
      <c r="D19" s="89"/>
      <c r="E19" s="89"/>
      <c r="F19" s="49" t="s">
        <v>58</v>
      </c>
      <c r="G19" s="49" t="s">
        <v>59</v>
      </c>
      <c r="H19" s="89"/>
      <c r="I19" s="89"/>
      <c r="J19" s="98"/>
    </row>
    <row r="20" spans="1:10" ht="31.15" customHeight="1">
      <c r="A20" s="57" t="s">
        <v>29</v>
      </c>
      <c r="B20" s="52" t="s">
        <v>60</v>
      </c>
      <c r="C20" s="51" t="s">
        <v>61</v>
      </c>
      <c r="D20" s="51">
        <v>140513</v>
      </c>
      <c r="E20" s="51" t="s">
        <v>34</v>
      </c>
      <c r="F20" s="58">
        <v>200</v>
      </c>
      <c r="G20" s="53">
        <v>11320.6</v>
      </c>
      <c r="H20" s="53">
        <v>1099.5</v>
      </c>
      <c r="I20" s="53">
        <v>1144.5</v>
      </c>
      <c r="J20" s="66">
        <v>3.5640000000000001</v>
      </c>
    </row>
    <row r="21" spans="1:10" ht="31.15" customHeight="1">
      <c r="A21" s="59"/>
      <c r="B21" s="52" t="s">
        <v>62</v>
      </c>
      <c r="C21" s="51" t="s">
        <v>61</v>
      </c>
      <c r="D21" s="51">
        <v>140513</v>
      </c>
      <c r="E21" s="51" t="s">
        <v>34</v>
      </c>
      <c r="F21" s="58">
        <v>187</v>
      </c>
      <c r="G21" s="53">
        <v>10035.200000000001</v>
      </c>
      <c r="H21" s="53">
        <v>971.5</v>
      </c>
      <c r="I21" s="53">
        <v>1016.5</v>
      </c>
      <c r="J21" s="66">
        <v>3.1680000000000001</v>
      </c>
    </row>
    <row r="22" spans="1:10" ht="31.15" customHeight="1">
      <c r="A22" s="59" t="s">
        <v>63</v>
      </c>
      <c r="B22" s="52" t="s">
        <v>64</v>
      </c>
      <c r="C22" s="51" t="s">
        <v>65</v>
      </c>
      <c r="D22" s="51">
        <v>140513</v>
      </c>
      <c r="E22" s="51" t="s">
        <v>34</v>
      </c>
      <c r="F22" s="58">
        <v>180</v>
      </c>
      <c r="G22" s="53">
        <v>10034.1</v>
      </c>
      <c r="H22" s="53">
        <v>934</v>
      </c>
      <c r="I22" s="53">
        <v>979</v>
      </c>
      <c r="J22" s="66">
        <v>2.8908</v>
      </c>
    </row>
    <row r="23" spans="1:10" ht="31.15" customHeight="1">
      <c r="A23" s="59" t="s">
        <v>35</v>
      </c>
      <c r="B23" s="52" t="s">
        <v>66</v>
      </c>
      <c r="C23" s="51" t="s">
        <v>65</v>
      </c>
      <c r="D23" s="51">
        <v>140513</v>
      </c>
      <c r="E23" s="51" t="s">
        <v>34</v>
      </c>
      <c r="F23" s="58">
        <v>187</v>
      </c>
      <c r="G23" s="53">
        <v>10248.9</v>
      </c>
      <c r="H23" s="53">
        <v>954.5</v>
      </c>
      <c r="I23" s="53">
        <v>999.5</v>
      </c>
      <c r="J23" s="66">
        <v>2.8512</v>
      </c>
    </row>
    <row r="24" spans="1:10" ht="31.15" customHeight="1">
      <c r="A24" s="59"/>
      <c r="B24" s="52" t="s">
        <v>67</v>
      </c>
      <c r="C24" s="51" t="s">
        <v>68</v>
      </c>
      <c r="D24" s="51">
        <v>140513</v>
      </c>
      <c r="E24" s="51" t="s">
        <v>34</v>
      </c>
      <c r="F24" s="58">
        <v>139</v>
      </c>
      <c r="G24" s="53">
        <v>7953.3</v>
      </c>
      <c r="H24" s="53">
        <v>740.5</v>
      </c>
      <c r="I24" s="53">
        <v>785.5</v>
      </c>
      <c r="J24" s="66">
        <v>2.3759999999999999</v>
      </c>
    </row>
    <row r="25" spans="1:10" ht="31.15" customHeight="1">
      <c r="A25" s="59"/>
      <c r="B25" s="52" t="s">
        <v>69</v>
      </c>
      <c r="C25" s="51" t="s">
        <v>68</v>
      </c>
      <c r="D25" s="51">
        <v>140513</v>
      </c>
      <c r="E25" s="51" t="s">
        <v>34</v>
      </c>
      <c r="F25" s="58">
        <v>152</v>
      </c>
      <c r="G25" s="53">
        <v>8765.9</v>
      </c>
      <c r="H25" s="53">
        <v>820.5</v>
      </c>
      <c r="I25" s="53">
        <v>865.5</v>
      </c>
      <c r="J25" s="66">
        <v>2.3759999999999999</v>
      </c>
    </row>
    <row r="26" spans="1:10" ht="31.15" customHeight="1">
      <c r="A26" s="59"/>
      <c r="B26" s="52" t="s">
        <v>70</v>
      </c>
      <c r="C26" s="51" t="s">
        <v>71</v>
      </c>
      <c r="D26" s="51">
        <v>140513</v>
      </c>
      <c r="E26" s="51" t="s">
        <v>34</v>
      </c>
      <c r="F26" s="58">
        <v>62</v>
      </c>
      <c r="G26" s="53">
        <v>3039.2</v>
      </c>
      <c r="H26" s="53">
        <v>299.5</v>
      </c>
      <c r="I26" s="53">
        <v>344.5</v>
      </c>
      <c r="J26" s="66">
        <v>1.3859999999999999</v>
      </c>
    </row>
    <row r="27" spans="1:10" ht="31.15" customHeight="1">
      <c r="A27" s="59"/>
      <c r="B27" s="104" t="s">
        <v>72</v>
      </c>
      <c r="C27" s="51" t="s">
        <v>73</v>
      </c>
      <c r="D27" s="51">
        <v>140491</v>
      </c>
      <c r="E27" s="51" t="s">
        <v>74</v>
      </c>
      <c r="F27" s="58">
        <v>247</v>
      </c>
      <c r="G27" s="53">
        <v>9371.7999999999993</v>
      </c>
      <c r="H27" s="53">
        <v>607.65940000000001</v>
      </c>
      <c r="I27" s="53">
        <v>651.94219999999996</v>
      </c>
      <c r="J27" s="66">
        <v>2.3380999999999998</v>
      </c>
    </row>
    <row r="28" spans="1:10" ht="31.15" customHeight="1">
      <c r="A28" s="59"/>
      <c r="B28" s="89"/>
      <c r="C28" s="51" t="s">
        <v>73</v>
      </c>
      <c r="D28" s="51">
        <v>140491</v>
      </c>
      <c r="E28" s="51" t="s">
        <v>74</v>
      </c>
      <c r="F28" s="58">
        <v>4</v>
      </c>
      <c r="G28" s="53">
        <v>145.5</v>
      </c>
      <c r="H28" s="53">
        <v>9.8406000000000002</v>
      </c>
      <c r="I28" s="53">
        <v>10.5578</v>
      </c>
      <c r="J28" s="66">
        <v>3.7900000000000003E-2</v>
      </c>
    </row>
    <row r="29" spans="1:10" ht="31.15" customHeight="1">
      <c r="A29" s="59"/>
      <c r="B29" s="52" t="s">
        <v>75</v>
      </c>
      <c r="C29" s="51" t="s">
        <v>73</v>
      </c>
      <c r="D29" s="51">
        <v>140491</v>
      </c>
      <c r="E29" s="51" t="s">
        <v>74</v>
      </c>
      <c r="F29" s="58">
        <v>295</v>
      </c>
      <c r="G29" s="53">
        <v>11127.5</v>
      </c>
      <c r="H29" s="53">
        <v>723</v>
      </c>
      <c r="I29" s="53">
        <v>768</v>
      </c>
      <c r="J29" s="66">
        <v>2.5344000000000002</v>
      </c>
    </row>
    <row r="30" spans="1:10" ht="31.15" customHeight="1">
      <c r="A30" s="59"/>
      <c r="B30" s="52" t="s">
        <v>76</v>
      </c>
      <c r="C30" s="51" t="s">
        <v>77</v>
      </c>
      <c r="D30" s="51">
        <v>140478</v>
      </c>
      <c r="E30" s="51" t="s">
        <v>78</v>
      </c>
      <c r="F30" s="58">
        <v>264</v>
      </c>
      <c r="G30" s="53">
        <v>9465.5</v>
      </c>
      <c r="H30" s="53">
        <v>641</v>
      </c>
      <c r="I30" s="53">
        <v>686</v>
      </c>
      <c r="J30" s="66">
        <v>2.5739999999999998</v>
      </c>
    </row>
    <row r="31" spans="1:10" ht="31.15" customHeight="1">
      <c r="A31" s="59"/>
      <c r="B31" s="52" t="s">
        <v>79</v>
      </c>
      <c r="C31" s="51" t="s">
        <v>80</v>
      </c>
      <c r="D31" s="51">
        <v>140478</v>
      </c>
      <c r="E31" s="51" t="s">
        <v>78</v>
      </c>
      <c r="F31" s="58">
        <v>280</v>
      </c>
      <c r="G31" s="53">
        <v>10037</v>
      </c>
      <c r="H31" s="53">
        <v>768.5</v>
      </c>
      <c r="I31" s="53">
        <v>813.5</v>
      </c>
      <c r="J31" s="66">
        <v>2.6532</v>
      </c>
    </row>
    <row r="32" spans="1:10" ht="31.15" customHeight="1">
      <c r="A32" s="59"/>
      <c r="B32" s="52" t="s">
        <v>81</v>
      </c>
      <c r="C32" s="51" t="s">
        <v>80</v>
      </c>
      <c r="D32" s="51">
        <v>140478</v>
      </c>
      <c r="E32" s="51" t="s">
        <v>78</v>
      </c>
      <c r="F32" s="58">
        <v>275</v>
      </c>
      <c r="G32" s="53">
        <v>9744.4</v>
      </c>
      <c r="H32" s="53">
        <v>791</v>
      </c>
      <c r="I32" s="53">
        <v>836</v>
      </c>
      <c r="J32" s="66">
        <v>2.4948000000000001</v>
      </c>
    </row>
    <row r="33" spans="1:11" ht="31.15" customHeight="1">
      <c r="A33" s="59"/>
      <c r="B33" s="52" t="s">
        <v>82</v>
      </c>
      <c r="C33" s="51" t="s">
        <v>83</v>
      </c>
      <c r="D33" s="51">
        <v>140478</v>
      </c>
      <c r="E33" s="51" t="s">
        <v>78</v>
      </c>
      <c r="F33" s="58">
        <v>275</v>
      </c>
      <c r="G33" s="53">
        <v>10150.299999999999</v>
      </c>
      <c r="H33" s="53">
        <v>730</v>
      </c>
      <c r="I33" s="53">
        <v>775</v>
      </c>
      <c r="J33" s="66">
        <v>2.3759999999999999</v>
      </c>
    </row>
    <row r="34" spans="1:11" ht="31.15" customHeight="1">
      <c r="A34" s="59"/>
      <c r="B34" s="52" t="s">
        <v>84</v>
      </c>
      <c r="C34" s="51" t="s">
        <v>83</v>
      </c>
      <c r="D34" s="51">
        <v>140478</v>
      </c>
      <c r="E34" s="51" t="s">
        <v>78</v>
      </c>
      <c r="F34" s="58">
        <v>145</v>
      </c>
      <c r="G34" s="53">
        <v>5409.4</v>
      </c>
      <c r="H34" s="53">
        <v>384.5</v>
      </c>
      <c r="I34" s="53">
        <v>429.5</v>
      </c>
      <c r="J34" s="66">
        <v>1.6235999999999999</v>
      </c>
    </row>
    <row r="35" spans="1:11" ht="31.15" customHeight="1">
      <c r="A35" s="59"/>
      <c r="B35" s="52" t="s">
        <v>85</v>
      </c>
      <c r="C35" s="51" t="s">
        <v>86</v>
      </c>
      <c r="D35" s="51">
        <v>140478</v>
      </c>
      <c r="E35" s="51" t="s">
        <v>78</v>
      </c>
      <c r="F35" s="58">
        <v>275</v>
      </c>
      <c r="G35" s="53">
        <v>10355.6</v>
      </c>
      <c r="H35" s="53">
        <v>660</v>
      </c>
      <c r="I35" s="53">
        <v>705</v>
      </c>
      <c r="J35" s="66">
        <v>2.3759999999999999</v>
      </c>
    </row>
    <row r="36" spans="1:11" ht="31.15" customHeight="1">
      <c r="A36" s="59"/>
      <c r="B36" s="52" t="s">
        <v>87</v>
      </c>
      <c r="C36" s="51" t="s">
        <v>86</v>
      </c>
      <c r="D36" s="51">
        <v>140478</v>
      </c>
      <c r="E36" s="51" t="s">
        <v>78</v>
      </c>
      <c r="F36" s="58">
        <v>270</v>
      </c>
      <c r="G36" s="53">
        <v>10237.5</v>
      </c>
      <c r="H36" s="53">
        <v>673.5</v>
      </c>
      <c r="I36" s="53">
        <v>718.5</v>
      </c>
      <c r="J36" s="66">
        <v>2.4948000000000001</v>
      </c>
    </row>
    <row r="37" spans="1:11" ht="31.15" customHeight="1">
      <c r="A37" s="59"/>
      <c r="B37" s="52" t="s">
        <v>88</v>
      </c>
      <c r="C37" s="51" t="s">
        <v>86</v>
      </c>
      <c r="D37" s="51">
        <v>140478</v>
      </c>
      <c r="E37" s="51" t="s">
        <v>78</v>
      </c>
      <c r="F37" s="58">
        <v>285</v>
      </c>
      <c r="G37" s="53">
        <v>10820.7</v>
      </c>
      <c r="H37" s="53">
        <v>702.5</v>
      </c>
      <c r="I37" s="53">
        <v>747.5</v>
      </c>
      <c r="J37" s="66">
        <v>2.4948000000000001</v>
      </c>
    </row>
    <row r="38" spans="1:11" ht="31.15" customHeight="1">
      <c r="A38" s="59"/>
      <c r="B38" s="52" t="s">
        <v>89</v>
      </c>
      <c r="C38" s="51" t="s">
        <v>86</v>
      </c>
      <c r="D38" s="51">
        <v>140478</v>
      </c>
      <c r="E38" s="51" t="s">
        <v>78</v>
      </c>
      <c r="F38" s="58">
        <v>275</v>
      </c>
      <c r="G38" s="53">
        <v>10282.4</v>
      </c>
      <c r="H38" s="53">
        <v>690</v>
      </c>
      <c r="I38" s="53">
        <v>735</v>
      </c>
      <c r="J38" s="66">
        <v>2.4948000000000001</v>
      </c>
    </row>
    <row r="39" spans="1:11" ht="31.15" customHeight="1">
      <c r="A39" s="59"/>
      <c r="B39" s="104" t="s">
        <v>90</v>
      </c>
      <c r="C39" s="51" t="s">
        <v>86</v>
      </c>
      <c r="D39" s="51">
        <v>140478</v>
      </c>
      <c r="E39" s="51" t="s">
        <v>78</v>
      </c>
      <c r="F39" s="58">
        <v>274</v>
      </c>
      <c r="G39" s="53">
        <v>10275</v>
      </c>
      <c r="H39" s="53">
        <v>696.5</v>
      </c>
      <c r="I39" s="53">
        <v>741.5</v>
      </c>
      <c r="J39" s="66">
        <v>2.4948000000000001</v>
      </c>
    </row>
    <row r="40" spans="1:11" ht="31.15" customHeight="1">
      <c r="A40" s="59"/>
      <c r="B40" s="89"/>
      <c r="C40" s="51" t="s">
        <v>86</v>
      </c>
      <c r="D40" s="51">
        <v>140478</v>
      </c>
      <c r="E40" s="51" t="s">
        <v>78</v>
      </c>
      <c r="F40" s="58"/>
      <c r="G40" s="53" t="s">
        <v>91</v>
      </c>
      <c r="H40" s="53">
        <v>0</v>
      </c>
      <c r="I40" s="53">
        <v>0</v>
      </c>
      <c r="J40" s="66">
        <v>0</v>
      </c>
    </row>
    <row r="41" spans="1:11" ht="31.15" customHeight="1">
      <c r="A41" s="59"/>
      <c r="B41" s="92" t="s">
        <v>97</v>
      </c>
      <c r="C41" s="93"/>
      <c r="D41" s="53"/>
      <c r="E41" s="52"/>
      <c r="F41" s="58"/>
      <c r="G41" s="53"/>
      <c r="H41" s="53"/>
      <c r="I41" s="53"/>
      <c r="J41" s="53"/>
    </row>
    <row r="42" spans="1:11" ht="31.15" customHeight="1">
      <c r="A42" s="60"/>
      <c r="B42" s="55" t="s">
        <v>36</v>
      </c>
      <c r="C42" s="71"/>
      <c r="D42" s="55"/>
      <c r="E42" s="55" t="s">
        <v>37</v>
      </c>
      <c r="F42" s="61">
        <f>SUM(F20:F40)</f>
        <v>4271</v>
      </c>
      <c r="G42" s="62">
        <f>SUM(G20:G40)</f>
        <v>178819.8</v>
      </c>
      <c r="H42" s="62">
        <f>SUM(H20:H40)</f>
        <v>13898</v>
      </c>
      <c r="I42" s="62">
        <f>SUM(I20:I40)</f>
        <v>14753</v>
      </c>
      <c r="J42" s="62">
        <f>SUM(J20:J40)</f>
        <v>47.6</v>
      </c>
    </row>
    <row r="43" spans="1:11" ht="31.15" customHeight="1">
      <c r="A43" s="63"/>
      <c r="B43" s="64" t="s">
        <v>36</v>
      </c>
      <c r="C43" s="64" t="s">
        <v>92</v>
      </c>
      <c r="D43" s="65"/>
      <c r="E43" s="64" t="s">
        <v>93</v>
      </c>
      <c r="F43" s="65">
        <v>3164</v>
      </c>
      <c r="G43" s="108">
        <v>117422.6</v>
      </c>
      <c r="H43" s="108">
        <v>8078</v>
      </c>
      <c r="I43" s="108">
        <v>8618</v>
      </c>
      <c r="J43" s="108">
        <v>28.99</v>
      </c>
    </row>
    <row r="44" spans="1:11" ht="31.15" customHeight="1">
      <c r="A44" s="63"/>
      <c r="B44" s="64" t="s">
        <v>36</v>
      </c>
      <c r="C44" s="64" t="s">
        <v>94</v>
      </c>
      <c r="D44" s="65"/>
      <c r="E44" s="64" t="s">
        <v>95</v>
      </c>
      <c r="F44" s="65">
        <v>1107</v>
      </c>
      <c r="G44" s="108">
        <v>61397.2</v>
      </c>
      <c r="H44" s="108">
        <v>5820</v>
      </c>
      <c r="I44" s="108">
        <v>6135</v>
      </c>
      <c r="J44" s="108">
        <v>18.61</v>
      </c>
    </row>
    <row r="45" spans="1:11" ht="31.15" customHeight="1"/>
    <row r="46" spans="1:11" ht="31.15" customHeight="1"/>
    <row r="47" spans="1:11" ht="42" customHeight="1">
      <c r="A47" s="100" t="s">
        <v>38</v>
      </c>
      <c r="B47" s="85"/>
      <c r="C47" s="84"/>
      <c r="D47" s="84"/>
      <c r="E47" s="84"/>
      <c r="F47" s="15"/>
      <c r="G47" s="4"/>
      <c r="H47" s="4"/>
      <c r="I47" s="4"/>
      <c r="J47" s="5"/>
      <c r="K47" s="24"/>
    </row>
    <row r="48" spans="1:11" ht="61.5" customHeight="1">
      <c r="A48" s="16" t="s">
        <v>39</v>
      </c>
      <c r="B48" s="99" t="s">
        <v>40</v>
      </c>
      <c r="C48" s="84"/>
      <c r="D48" s="84"/>
      <c r="E48" s="84"/>
      <c r="F48" s="17"/>
      <c r="G48" s="17"/>
      <c r="H48" s="17"/>
      <c r="I48" s="4"/>
      <c r="J48" s="5"/>
      <c r="K48" s="24"/>
    </row>
    <row r="49" spans="1:11" ht="44.1" customHeight="1">
      <c r="A49" s="106" t="s">
        <v>96</v>
      </c>
      <c r="B49" s="85"/>
      <c r="C49" s="84"/>
      <c r="D49" s="84"/>
      <c r="E49" s="84"/>
      <c r="F49" s="18"/>
      <c r="G49" s="18"/>
      <c r="H49" s="18"/>
      <c r="I49" s="18"/>
      <c r="J49" s="5"/>
      <c r="K49" s="24"/>
    </row>
    <row r="50" spans="1:11" ht="24.75" customHeight="1">
      <c r="A50" s="96" t="s">
        <v>42</v>
      </c>
      <c r="B50" s="85"/>
      <c r="C50" s="84"/>
      <c r="D50" s="84"/>
      <c r="E50" s="84"/>
      <c r="F50" s="84"/>
      <c r="G50" s="84"/>
      <c r="H50" s="84"/>
      <c r="I50" s="84"/>
      <c r="J50" s="91"/>
    </row>
    <row r="51" spans="1:11" ht="27" customHeight="1">
      <c r="A51" s="96" t="s">
        <v>43</v>
      </c>
      <c r="B51" s="85"/>
      <c r="C51" s="84"/>
      <c r="D51" s="84"/>
      <c r="E51" s="84"/>
      <c r="F51" s="84"/>
      <c r="G51" s="84"/>
      <c r="H51" s="84"/>
      <c r="I51" s="84"/>
      <c r="J51" s="91"/>
    </row>
    <row r="52" spans="1:11" ht="24.75" customHeight="1"/>
    <row r="53" spans="1:11" ht="27" customHeight="1"/>
    <row r="54" spans="1:11" ht="15.6" customHeight="1">
      <c r="G54" s="4"/>
      <c r="H54" s="4"/>
      <c r="I54" s="4"/>
    </row>
    <row r="55" spans="1:11" ht="51" customHeight="1">
      <c r="G55" s="4"/>
      <c r="H55" s="4"/>
      <c r="I55" s="2" t="s">
        <v>45</v>
      </c>
    </row>
    <row r="56" spans="1:11" ht="51" customHeight="1">
      <c r="G56" s="4"/>
      <c r="H56" s="4"/>
      <c r="J56" s="2"/>
    </row>
    <row r="174" ht="42" customHeight="1"/>
    <row r="200" spans="1:5" ht="42" customHeight="1">
      <c r="A200" s="84"/>
      <c r="B200" s="85"/>
      <c r="C200" s="84"/>
      <c r="D200" s="84"/>
      <c r="E200" s="84"/>
    </row>
  </sheetData>
  <mergeCells count="33">
    <mergeCell ref="A49:E49"/>
    <mergeCell ref="A1:J1"/>
    <mergeCell ref="A50:J50"/>
    <mergeCell ref="A6:J6"/>
    <mergeCell ref="D18:D19"/>
    <mergeCell ref="J18:J19"/>
    <mergeCell ref="B48:E48"/>
    <mergeCell ref="A47:E47"/>
    <mergeCell ref="B11:E11"/>
    <mergeCell ref="C18:C19"/>
    <mergeCell ref="B14:E14"/>
    <mergeCell ref="H18:H19"/>
    <mergeCell ref="A2:J2"/>
    <mergeCell ref="B15:E15"/>
    <mergeCell ref="A4:J4"/>
    <mergeCell ref="B39:B40"/>
    <mergeCell ref="I18:I19"/>
    <mergeCell ref="A200:E200"/>
    <mergeCell ref="B8:E8"/>
    <mergeCell ref="B13:E13"/>
    <mergeCell ref="E18:E19"/>
    <mergeCell ref="A3:J3"/>
    <mergeCell ref="B41:C41"/>
    <mergeCell ref="B10:E10"/>
    <mergeCell ref="A51:J51"/>
    <mergeCell ref="B16:E16"/>
    <mergeCell ref="F18:G18"/>
    <mergeCell ref="C42"/>
    <mergeCell ref="A18:A19"/>
    <mergeCell ref="A5:J5"/>
    <mergeCell ref="B9:E9"/>
    <mergeCell ref="B27:B28"/>
    <mergeCell ref="B18:B19"/>
  </mergeCells>
  <printOptions horizontalCentered="1"/>
  <pageMargins left="0.1" right="0.1" top="0.75" bottom="0.75" header="0" footer="0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</vt:lpstr>
      <vt:lpstr>Packing list</vt:lpstr>
      <vt:lpstr>Invoice!Print_Area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jayheng spoet</cp:lastModifiedBy>
  <cp:lastPrinted>2024-05-12T12:34:00Z</cp:lastPrinted>
  <dcterms:created xsi:type="dcterms:W3CDTF">2015-06-05T18:17:00Z</dcterms:created>
  <dcterms:modified xsi:type="dcterms:W3CDTF">2026-01-29T04:20:52Z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EE7D73B6A6E244668E54C1247D5AECE3_13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false</vt:bool>
  </property>
</Properties>
</file>